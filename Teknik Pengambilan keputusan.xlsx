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ni\Desktop\perkuliahan semester 3\IT Project 1\project\"/>
    </mc:Choice>
  </mc:AlternateContent>
  <xr:revisionPtr revIDLastSave="0" documentId="8_{BF88FA33-DEE4-4909-AC6B-A69739D21717}" xr6:coauthVersionLast="47" xr6:coauthVersionMax="47" xr10:uidLastSave="{00000000-0000-0000-0000-000000000000}"/>
  <bookViews>
    <workbookView xWindow="-110" yWindow="-110" windowWidth="19420" windowHeight="11020" activeTab="1" xr2:uid="{4A360586-AB57-49C7-87B6-0A8DC92DC69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5" i="2" l="1"/>
  <c r="H39" i="2" s="1"/>
  <c r="B23" i="2"/>
  <c r="C37" i="2" s="1"/>
  <c r="N11" i="2"/>
  <c r="O9" i="2" s="1"/>
  <c r="I6" i="1"/>
  <c r="J2" i="1" s="1"/>
  <c r="K13" i="2"/>
  <c r="R19" i="2" s="1"/>
  <c r="K33" i="2" s="1"/>
  <c r="J13" i="2"/>
  <c r="P18" i="2" s="1"/>
  <c r="J32" i="2" s="1"/>
  <c r="I13" i="2"/>
  <c r="N25" i="2" s="1"/>
  <c r="I39" i="2" s="1"/>
  <c r="H13" i="2"/>
  <c r="L21" i="2" s="1"/>
  <c r="H35" i="2" s="1"/>
  <c r="G13" i="2"/>
  <c r="J20" i="2" s="1"/>
  <c r="G34" i="2" s="1"/>
  <c r="F13" i="2"/>
  <c r="H24" i="2" s="1"/>
  <c r="F38" i="2" s="1"/>
  <c r="E13" i="2"/>
  <c r="F23" i="2" s="1"/>
  <c r="E37" i="2" s="1"/>
  <c r="D13" i="2"/>
  <c r="D22" i="2" s="1"/>
  <c r="D36" i="2" s="1"/>
  <c r="C13" i="2"/>
  <c r="B19" i="2" s="1"/>
  <c r="C33" i="2" s="1"/>
  <c r="C13" i="1"/>
  <c r="B16" i="1" s="1"/>
  <c r="N17" i="2" l="1"/>
  <c r="I31" i="2" s="1"/>
  <c r="N21" i="2"/>
  <c r="I35" i="2" s="1"/>
  <c r="P22" i="2"/>
  <c r="J36" i="2" s="1"/>
  <c r="R23" i="2"/>
  <c r="K37" i="2" s="1"/>
  <c r="D18" i="2"/>
  <c r="D32" i="2" s="1"/>
  <c r="O8" i="2"/>
  <c r="B26" i="2"/>
  <c r="C40" i="2" s="1"/>
  <c r="B18" i="2"/>
  <c r="C32" i="2" s="1"/>
  <c r="D21" i="2"/>
  <c r="D35" i="2" s="1"/>
  <c r="F22" i="2"/>
  <c r="E36" i="2" s="1"/>
  <c r="H23" i="2"/>
  <c r="F37" i="2" s="1"/>
  <c r="J17" i="2"/>
  <c r="G31" i="2" s="1"/>
  <c r="J19" i="2"/>
  <c r="G33" i="2" s="1"/>
  <c r="L20" i="2"/>
  <c r="H34" i="2" s="1"/>
  <c r="N24" i="2"/>
  <c r="I38" i="2" s="1"/>
  <c r="P25" i="2"/>
  <c r="J39" i="2" s="1"/>
  <c r="R26" i="2"/>
  <c r="K40" i="2" s="1"/>
  <c r="R18" i="2"/>
  <c r="K32" i="2" s="1"/>
  <c r="D26" i="2"/>
  <c r="D40" i="2" s="1"/>
  <c r="J24" i="2"/>
  <c r="G38" i="2" s="1"/>
  <c r="O7" i="2"/>
  <c r="B25" i="2"/>
  <c r="C39" i="2" s="1"/>
  <c r="D17" i="2"/>
  <c r="D31" i="2" s="1"/>
  <c r="D20" i="2"/>
  <c r="D34" i="2" s="1"/>
  <c r="F21" i="2"/>
  <c r="E35" i="2" s="1"/>
  <c r="H22" i="2"/>
  <c r="F36" i="2" s="1"/>
  <c r="J26" i="2"/>
  <c r="G40" i="2" s="1"/>
  <c r="J18" i="2"/>
  <c r="G32" i="2" s="1"/>
  <c r="L19" i="2"/>
  <c r="H33" i="2" s="1"/>
  <c r="N23" i="2"/>
  <c r="I37" i="2" s="1"/>
  <c r="P24" i="2"/>
  <c r="J38" i="2" s="1"/>
  <c r="R25" i="2"/>
  <c r="K39" i="2" s="1"/>
  <c r="O6" i="2"/>
  <c r="B24" i="2"/>
  <c r="C38" i="2" s="1"/>
  <c r="F17" i="2"/>
  <c r="E31" i="2" s="1"/>
  <c r="D19" i="2"/>
  <c r="D33" i="2" s="1"/>
  <c r="F20" i="2"/>
  <c r="E34" i="2" s="1"/>
  <c r="H21" i="2"/>
  <c r="F35" i="2" s="1"/>
  <c r="J25" i="2"/>
  <c r="G39" i="2" s="1"/>
  <c r="L26" i="2"/>
  <c r="H40" i="2" s="1"/>
  <c r="L18" i="2"/>
  <c r="H32" i="2" s="1"/>
  <c r="N22" i="2"/>
  <c r="I36" i="2" s="1"/>
  <c r="P23" i="2"/>
  <c r="J37" i="2" s="1"/>
  <c r="R24" i="2"/>
  <c r="K38" i="2" s="1"/>
  <c r="O4" i="2"/>
  <c r="B22" i="2"/>
  <c r="C36" i="2" s="1"/>
  <c r="D25" i="2"/>
  <c r="D39" i="2" s="1"/>
  <c r="F26" i="2"/>
  <c r="E40" i="2" s="1"/>
  <c r="F18" i="2"/>
  <c r="E32" i="2" s="1"/>
  <c r="H19" i="2"/>
  <c r="F33" i="2" s="1"/>
  <c r="J23" i="2"/>
  <c r="G37" i="2" s="1"/>
  <c r="L24" i="2"/>
  <c r="H38" i="2" s="1"/>
  <c r="P17" i="2"/>
  <c r="J31" i="2" s="1"/>
  <c r="N20" i="2"/>
  <c r="I34" i="2" s="1"/>
  <c r="P21" i="2"/>
  <c r="J35" i="2" s="1"/>
  <c r="R22" i="2"/>
  <c r="K36" i="2" s="1"/>
  <c r="O2" i="2"/>
  <c r="O3" i="2"/>
  <c r="B21" i="2"/>
  <c r="C35" i="2" s="1"/>
  <c r="D24" i="2"/>
  <c r="D38" i="2" s="1"/>
  <c r="F25" i="2"/>
  <c r="E39" i="2" s="1"/>
  <c r="H26" i="2"/>
  <c r="F40" i="2" s="1"/>
  <c r="H18" i="2"/>
  <c r="F32" i="2" s="1"/>
  <c r="J22" i="2"/>
  <c r="G36" i="2" s="1"/>
  <c r="L23" i="2"/>
  <c r="H37" i="2" s="1"/>
  <c r="R17" i="2"/>
  <c r="K31" i="2" s="1"/>
  <c r="N19" i="2"/>
  <c r="I33" i="2" s="1"/>
  <c r="P20" i="2"/>
  <c r="J34" i="2" s="1"/>
  <c r="R21" i="2"/>
  <c r="K35" i="2" s="1"/>
  <c r="H20" i="2"/>
  <c r="F34" i="2" s="1"/>
  <c r="O10" i="2"/>
  <c r="B20" i="2"/>
  <c r="C34" i="2" s="1"/>
  <c r="D23" i="2"/>
  <c r="D37" i="2" s="1"/>
  <c r="F24" i="2"/>
  <c r="E38" i="2" s="1"/>
  <c r="H25" i="2"/>
  <c r="F39" i="2" s="1"/>
  <c r="H17" i="2"/>
  <c r="F31" i="2" s="1"/>
  <c r="J21" i="2"/>
  <c r="G35" i="2" s="1"/>
  <c r="L22" i="2"/>
  <c r="H36" i="2" s="1"/>
  <c r="N26" i="2"/>
  <c r="I40" i="2" s="1"/>
  <c r="N18" i="2"/>
  <c r="I32" i="2" s="1"/>
  <c r="P19" i="2"/>
  <c r="J33" i="2" s="1"/>
  <c r="R20" i="2"/>
  <c r="K34" i="2" s="1"/>
  <c r="O5" i="2"/>
  <c r="F19" i="2"/>
  <c r="E33" i="2" s="1"/>
  <c r="B17" i="2"/>
  <c r="C31" i="2" s="1"/>
  <c r="L17" i="2"/>
  <c r="H31" i="2" s="1"/>
  <c r="P26" i="2"/>
  <c r="J40" i="2" s="1"/>
  <c r="B17" i="1"/>
  <c r="C30" i="1" s="1"/>
  <c r="B18" i="1"/>
  <c r="C31" i="1" s="1"/>
  <c r="B19" i="1"/>
  <c r="C32" i="1" s="1"/>
  <c r="B20" i="1"/>
  <c r="C33" i="1" s="1"/>
  <c r="B21" i="1"/>
  <c r="C34" i="1" s="1"/>
  <c r="B22" i="1"/>
  <c r="C35" i="1" s="1"/>
  <c r="B23" i="1"/>
  <c r="C36" i="1" s="1"/>
  <c r="B24" i="1"/>
  <c r="C37" i="1" s="1"/>
  <c r="B25" i="1"/>
  <c r="C38" i="1" s="1"/>
  <c r="C29" i="1"/>
  <c r="J3" i="1"/>
  <c r="J4" i="1"/>
  <c r="J5" i="1"/>
  <c r="D13" i="1"/>
  <c r="D21" i="1" s="1"/>
  <c r="D34" i="1" s="1"/>
  <c r="E13" i="1"/>
  <c r="F24" i="1" s="1"/>
  <c r="E37" i="1" s="1"/>
  <c r="F13" i="1"/>
  <c r="H18" i="1" s="1"/>
  <c r="F31" i="1" s="1"/>
  <c r="H21" i="1" l="1"/>
  <c r="F34" i="1" s="1"/>
  <c r="H17" i="1"/>
  <c r="F30" i="1" s="1"/>
  <c r="D17" i="1"/>
  <c r="D30" i="1" s="1"/>
  <c r="H22" i="1"/>
  <c r="F35" i="1" s="1"/>
  <c r="D20" i="1"/>
  <c r="D33" i="1" s="1"/>
  <c r="F23" i="1"/>
  <c r="E36" i="1" s="1"/>
  <c r="H25" i="1"/>
  <c r="F38" i="1" s="1"/>
  <c r="D19" i="1"/>
  <c r="D32" i="1" s="1"/>
  <c r="F22" i="1"/>
  <c r="E35" i="1" s="1"/>
  <c r="H24" i="1"/>
  <c r="F37" i="1" s="1"/>
  <c r="D25" i="1"/>
  <c r="D38" i="1" s="1"/>
  <c r="F20" i="1"/>
  <c r="E33" i="1" s="1"/>
  <c r="D18" i="1"/>
  <c r="D31" i="1" s="1"/>
  <c r="B43" i="1" s="1"/>
  <c r="C55" i="1" s="1"/>
  <c r="F21" i="1"/>
  <c r="E34" i="1" s="1"/>
  <c r="B46" i="1" s="1"/>
  <c r="C58" i="1" s="1"/>
  <c r="H23" i="1"/>
  <c r="F36" i="1" s="1"/>
  <c r="B51" i="2"/>
  <c r="C64" i="2" s="1"/>
  <c r="B47" i="2"/>
  <c r="C60" i="2" s="1"/>
  <c r="B52" i="2"/>
  <c r="C65" i="2" s="1"/>
  <c r="B45" i="2"/>
  <c r="C58" i="2" s="1"/>
  <c r="B53" i="2"/>
  <c r="C66" i="2" s="1"/>
  <c r="B46" i="2"/>
  <c r="C59" i="2" s="1"/>
  <c r="B44" i="2"/>
  <c r="C57" i="2" s="1"/>
  <c r="B48" i="2"/>
  <c r="C61" i="2" s="1"/>
  <c r="B49" i="2"/>
  <c r="C62" i="2" s="1"/>
  <c r="B50" i="2"/>
  <c r="C63" i="2" s="1"/>
  <c r="D24" i="1"/>
  <c r="D37" i="1" s="1"/>
  <c r="F16" i="1"/>
  <c r="E29" i="1" s="1"/>
  <c r="F19" i="1"/>
  <c r="E32" i="1" s="1"/>
  <c r="H20" i="1"/>
  <c r="F33" i="1" s="1"/>
  <c r="F25" i="1"/>
  <c r="E38" i="1" s="1"/>
  <c r="F17" i="1"/>
  <c r="E30" i="1" s="1"/>
  <c r="B42" i="1" s="1"/>
  <c r="C54" i="1" s="1"/>
  <c r="H19" i="1"/>
  <c r="F32" i="1" s="1"/>
  <c r="B44" i="1" s="1"/>
  <c r="C56" i="1" s="1"/>
  <c r="D23" i="1"/>
  <c r="D36" i="1" s="1"/>
  <c r="D16" i="1"/>
  <c r="D29" i="1" s="1"/>
  <c r="F18" i="1"/>
  <c r="E31" i="1" s="1"/>
  <c r="D22" i="1"/>
  <c r="D35" i="1" s="1"/>
  <c r="B47" i="1" s="1"/>
  <c r="C59" i="1" s="1"/>
  <c r="H16" i="1"/>
  <c r="F29" i="1" s="1"/>
  <c r="B49" i="1"/>
  <c r="C61" i="1" s="1"/>
  <c r="B45" i="1"/>
  <c r="C57" i="1" s="1"/>
  <c r="B50" i="1" l="1"/>
  <c r="C62" i="1" s="1"/>
  <c r="B48" i="1"/>
  <c r="C60" i="1" s="1"/>
  <c r="B41" i="1"/>
  <c r="C53" i="1" s="1"/>
</calcChain>
</file>

<file path=xl/sharedStrings.xml><?xml version="1.0" encoding="utf-8"?>
<sst xmlns="http://schemas.openxmlformats.org/spreadsheetml/2006/main" count="312" uniqueCount="161">
  <si>
    <t>Alternatif</t>
  </si>
  <si>
    <t>Kewarganegaraan</t>
  </si>
  <si>
    <t>Nama</t>
  </si>
  <si>
    <t>AHMAD DWI KURNIA</t>
  </si>
  <si>
    <t>SALSABELLA AMANDA TAUPIK</t>
  </si>
  <si>
    <t>MYRNA THIARA</t>
  </si>
  <si>
    <t>AN NISA FITRI</t>
  </si>
  <si>
    <t>NUR INTAN QOLBI NURI</t>
  </si>
  <si>
    <t>AKHMAD ADI PURNOMO</t>
  </si>
  <si>
    <t>ANNISA NURHIDAYAH</t>
  </si>
  <si>
    <t>MUHAMMAD RIZAL</t>
  </si>
  <si>
    <t>ZAINI AFLAHA AZIZAH</t>
  </si>
  <si>
    <t>RAHMAD ERWIN PRAYOGA</t>
  </si>
  <si>
    <t>Max/Min</t>
  </si>
  <si>
    <t>Keuntungan</t>
  </si>
  <si>
    <t xml:space="preserve">Kriteria </t>
  </si>
  <si>
    <t>bobot</t>
  </si>
  <si>
    <t>Aljabar</t>
  </si>
  <si>
    <t>Arsitektur komputer</t>
  </si>
  <si>
    <t>Desain ui/ux</t>
  </si>
  <si>
    <t>Normalisasi</t>
  </si>
  <si>
    <t>C1</t>
  </si>
  <si>
    <t>Aljabar Linier C1</t>
  </si>
  <si>
    <t>Arsitektur Komputer C2</t>
  </si>
  <si>
    <t>Desain UI/UX C3</t>
  </si>
  <si>
    <t>Kewarganegaraan C4</t>
  </si>
  <si>
    <t>R11</t>
  </si>
  <si>
    <t>R21</t>
  </si>
  <si>
    <t>R31</t>
  </si>
  <si>
    <t>R41</t>
  </si>
  <si>
    <t>R51</t>
  </si>
  <si>
    <t>R61</t>
  </si>
  <si>
    <t>R71</t>
  </si>
  <si>
    <t>R81</t>
  </si>
  <si>
    <t>R91</t>
  </si>
  <si>
    <t>R101</t>
  </si>
  <si>
    <t>Max/Kriteria</t>
  </si>
  <si>
    <t>C2</t>
  </si>
  <si>
    <t>R12</t>
  </si>
  <si>
    <t>R52</t>
  </si>
  <si>
    <t>R83</t>
  </si>
  <si>
    <t>R92</t>
  </si>
  <si>
    <t>R22</t>
  </si>
  <si>
    <t>R33</t>
  </si>
  <si>
    <t>R44</t>
  </si>
  <si>
    <t>R32</t>
  </si>
  <si>
    <t>R42</t>
  </si>
  <si>
    <t>R62</t>
  </si>
  <si>
    <t>R72</t>
  </si>
  <si>
    <t>R82</t>
  </si>
  <si>
    <t>R102</t>
  </si>
  <si>
    <t>C3</t>
  </si>
  <si>
    <t>R13</t>
  </si>
  <si>
    <t>R23</t>
  </si>
  <si>
    <t>R43</t>
  </si>
  <si>
    <t>R53</t>
  </si>
  <si>
    <t>R63</t>
  </si>
  <si>
    <t>R73</t>
  </si>
  <si>
    <t>R93</t>
  </si>
  <si>
    <t>R103</t>
  </si>
  <si>
    <t>C4</t>
  </si>
  <si>
    <t>R14</t>
  </si>
  <si>
    <t>R24</t>
  </si>
  <si>
    <t>R34</t>
  </si>
  <si>
    <t>R54</t>
  </si>
  <si>
    <t>R64</t>
  </si>
  <si>
    <t>R74</t>
  </si>
  <si>
    <t>R84</t>
  </si>
  <si>
    <t>R94</t>
  </si>
  <si>
    <t>R104</t>
  </si>
  <si>
    <t>Hasil Normalisasi</t>
  </si>
  <si>
    <t>Preferensi</t>
  </si>
  <si>
    <t>Hasil akhir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</si>
  <si>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</si>
  <si>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</si>
  <si>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</si>
  <si>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</si>
  <si>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</si>
  <si>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</si>
  <si>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</si>
  <si>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</si>
  <si>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</si>
  <si>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</si>
  <si>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NIM</t>
  </si>
  <si>
    <t>Algoritma dan Pemrograman</t>
  </si>
  <si>
    <t>Aplikasi Komputer</t>
  </si>
  <si>
    <t>Bahasa Inggris</t>
  </si>
  <si>
    <t>Desain Grafis</t>
  </si>
  <si>
    <t>Interaksi Manusia dan Komputer</t>
  </si>
  <si>
    <t>Kalkulus</t>
  </si>
  <si>
    <t>Matematika Diskrit</t>
  </si>
  <si>
    <t>Pengantar Basis Data</t>
  </si>
  <si>
    <t>Sistem Informasi Manajemen</t>
  </si>
  <si>
    <t>RIZQIA FEBRIANOOR</t>
  </si>
  <si>
    <t>SHERLY SANDRINA</t>
  </si>
  <si>
    <t>ALMA NABILLA</t>
  </si>
  <si>
    <t>MAULIDA YANTI</t>
  </si>
  <si>
    <t>ZUBAIDAH NUR JUMIAH</t>
  </si>
  <si>
    <t>SITI FATIMAH</t>
  </si>
  <si>
    <t>M.GALIH KATON BAGASKARA</t>
  </si>
  <si>
    <t>MAHYUDIANOOR</t>
  </si>
  <si>
    <t>MUHAMMAD HAFIDL BADALI</t>
  </si>
  <si>
    <t>NORMALISASI</t>
  </si>
  <si>
    <t>C5</t>
  </si>
  <si>
    <t>C6</t>
  </si>
  <si>
    <t>C7</t>
  </si>
  <si>
    <t>C8</t>
  </si>
  <si>
    <t>C9</t>
  </si>
  <si>
    <t>R15</t>
  </si>
  <si>
    <t>R16</t>
  </si>
  <si>
    <t>R17</t>
  </si>
  <si>
    <t>R18</t>
  </si>
  <si>
    <t>R19</t>
  </si>
  <si>
    <t>R25</t>
  </si>
  <si>
    <t>R35</t>
  </si>
  <si>
    <t>R45</t>
  </si>
  <si>
    <t>R55</t>
  </si>
  <si>
    <t>R65</t>
  </si>
  <si>
    <t>R75</t>
  </si>
  <si>
    <t>R85</t>
  </si>
  <si>
    <t>R95</t>
  </si>
  <si>
    <t>R105</t>
  </si>
  <si>
    <t>R26</t>
  </si>
  <si>
    <t>R36</t>
  </si>
  <si>
    <t>R46</t>
  </si>
  <si>
    <t>R56</t>
  </si>
  <si>
    <t>R66</t>
  </si>
  <si>
    <t>R76</t>
  </si>
  <si>
    <t>R86</t>
  </si>
  <si>
    <t>R96</t>
  </si>
  <si>
    <t>R106</t>
  </si>
  <si>
    <t>R27</t>
  </si>
  <si>
    <t>R37</t>
  </si>
  <si>
    <t>R47</t>
  </si>
  <si>
    <t>R57</t>
  </si>
  <si>
    <t>R67</t>
  </si>
  <si>
    <t>R77</t>
  </si>
  <si>
    <t>R87</t>
  </si>
  <si>
    <t>R97</t>
  </si>
  <si>
    <t>R107</t>
  </si>
  <si>
    <t>R28</t>
  </si>
  <si>
    <t>R38</t>
  </si>
  <si>
    <t>R48</t>
  </si>
  <si>
    <t>R58</t>
  </si>
  <si>
    <t>R68</t>
  </si>
  <si>
    <t>R78</t>
  </si>
  <si>
    <t>R88</t>
  </si>
  <si>
    <t>R98</t>
  </si>
  <si>
    <t>R108</t>
  </si>
  <si>
    <t>R29</t>
  </si>
  <si>
    <t>R39</t>
  </si>
  <si>
    <t>R49</t>
  </si>
  <si>
    <t>R59</t>
  </si>
  <si>
    <t>R69</t>
  </si>
  <si>
    <t>R79</t>
  </si>
  <si>
    <t>R89</t>
  </si>
  <si>
    <t>R99</t>
  </si>
  <si>
    <t>R109</t>
  </si>
  <si>
    <t>HASIL AKHIR</t>
  </si>
  <si>
    <t>Nilai</t>
  </si>
  <si>
    <t>Bobot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</si>
</sst>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C6A3-D0FD-4607-BEE1-D0629F511E29}">
  <dimension ref="A1:J62"/>
  <sheetViews>
    <sheetView topLeftCell="A40" zoomScale="69" zoomScaleNormal="103" workbookViewId="0">
      <selection activeCell="B42" sqref="B42"/>
    </sheetView>
  </sheetViews>
  <sheetFormatPr defaultRowHeight="14.5" x14ac:dyDescent="0.35"/>
  <cols>
    <col min="1" max="1" width="16.26953125" bestFit="1" customWidth="1"/>
    <col min="2" max="2" width="33.1796875" bestFit="1" customWidth="1"/>
    <col min="3" max="3" width="15.7265625" bestFit="1" customWidth="1"/>
    <col min="4" max="4" width="19.453125" bestFit="1" customWidth="1"/>
    <col min="5" max="5" width="14" bestFit="1" customWidth="1"/>
    <col min="6" max="6" width="17.81640625" bestFit="1" customWidth="1"/>
    <col min="8" max="8" width="19.26953125" bestFit="1" customWidth="1"/>
    <col min="9" max="9" width="8.453125" bestFit="1" customWidth="1"/>
  </cols>
  <sheetData>
    <row r="1" spans="1:10" x14ac:dyDescent="0.35">
      <c r="A1" s="5" t="s">
        <v>0</v>
      </c>
      <c r="B1" s="6" t="s">
        <v>2</v>
      </c>
      <c r="C1" s="6" t="s">
        <v>22</v>
      </c>
      <c r="D1" s="6" t="s">
        <v>23</v>
      </c>
      <c r="E1" s="6" t="s">
        <v>24</v>
      </c>
      <c r="F1" s="6" t="s">
        <v>25</v>
      </c>
      <c r="H1" s="2" t="s">
        <v>15</v>
      </c>
      <c r="I1" s="2"/>
      <c r="J1" s="2" t="s">
        <v>16</v>
      </c>
    </row>
    <row r="2" spans="1:10" x14ac:dyDescent="0.35">
      <c r="A2" s="7">
        <v>2301301002</v>
      </c>
      <c r="B2" s="7" t="s">
        <v>3</v>
      </c>
      <c r="C2" s="7">
        <v>65.5</v>
      </c>
      <c r="D2" s="7">
        <v>79.31</v>
      </c>
      <c r="E2" s="7">
        <v>63.74</v>
      </c>
      <c r="F2" s="7">
        <v>75.7</v>
      </c>
      <c r="H2" t="s">
        <v>17</v>
      </c>
      <c r="I2" s="3">
        <v>2</v>
      </c>
      <c r="J2" s="9">
        <f>I2/$I$6</f>
        <v>0.2857142857142857</v>
      </c>
    </row>
    <row r="3" spans="1:10" x14ac:dyDescent="0.35">
      <c r="A3" s="7">
        <v>2301301009</v>
      </c>
      <c r="B3" s="7" t="s">
        <v>4</v>
      </c>
      <c r="C3" s="7">
        <v>80.2</v>
      </c>
      <c r="D3" s="7">
        <v>79.55</v>
      </c>
      <c r="E3" s="7">
        <v>77.8</v>
      </c>
      <c r="F3" s="7">
        <v>84.25</v>
      </c>
      <c r="H3" t="s">
        <v>18</v>
      </c>
      <c r="I3" s="3">
        <v>2</v>
      </c>
      <c r="J3" s="9">
        <f t="shared" ref="J3:J5" si="0">I3/$I$6</f>
        <v>0.2857142857142857</v>
      </c>
    </row>
    <row r="4" spans="1:10" x14ac:dyDescent="0.35">
      <c r="A4" s="7">
        <v>2301301012</v>
      </c>
      <c r="B4" s="7" t="s">
        <v>5</v>
      </c>
      <c r="C4" s="7">
        <v>64.349999999999994</v>
      </c>
      <c r="D4" s="7">
        <v>74.430000000000007</v>
      </c>
      <c r="E4" s="7">
        <v>60.95</v>
      </c>
      <c r="F4" s="7">
        <v>69.790000000000006</v>
      </c>
      <c r="H4" t="s">
        <v>19</v>
      </c>
      <c r="I4" s="3">
        <v>2</v>
      </c>
      <c r="J4" s="9">
        <f t="shared" si="0"/>
        <v>0.2857142857142857</v>
      </c>
    </row>
    <row r="5" spans="1:10" x14ac:dyDescent="0.35">
      <c r="A5" s="7">
        <v>2301301023</v>
      </c>
      <c r="B5" s="7" t="s">
        <v>6</v>
      </c>
      <c r="C5" s="7">
        <v>86</v>
      </c>
      <c r="D5" s="7">
        <v>77.2</v>
      </c>
      <c r="E5" s="7">
        <v>77.69</v>
      </c>
      <c r="F5" s="7">
        <v>80.28</v>
      </c>
      <c r="H5" t="s">
        <v>1</v>
      </c>
      <c r="I5" s="3">
        <v>1</v>
      </c>
      <c r="J5" s="9">
        <f t="shared" si="0"/>
        <v>0.14285714285714285</v>
      </c>
    </row>
    <row r="6" spans="1:10" x14ac:dyDescent="0.35">
      <c r="A6" s="7">
        <v>2301301028</v>
      </c>
      <c r="B6" s="7" t="s">
        <v>7</v>
      </c>
      <c r="C6" s="7">
        <v>68.2</v>
      </c>
      <c r="D6" s="7">
        <v>75.13</v>
      </c>
      <c r="E6" s="7">
        <v>71.180000000000007</v>
      </c>
      <c r="F6" s="7">
        <v>75.81</v>
      </c>
      <c r="I6" s="1">
        <f>SUM(I2:I5)</f>
        <v>7</v>
      </c>
    </row>
    <row r="7" spans="1:10" x14ac:dyDescent="0.35">
      <c r="A7" s="7">
        <v>2301301033</v>
      </c>
      <c r="B7" s="7" t="s">
        <v>8</v>
      </c>
      <c r="C7" s="7">
        <v>0</v>
      </c>
      <c r="D7" s="7">
        <v>0</v>
      </c>
      <c r="E7" s="7">
        <v>0.17</v>
      </c>
      <c r="F7" s="7">
        <v>0</v>
      </c>
    </row>
    <row r="8" spans="1:10" x14ac:dyDescent="0.35">
      <c r="A8" s="7">
        <v>2301301037</v>
      </c>
      <c r="B8" s="7" t="s">
        <v>9</v>
      </c>
      <c r="C8" s="7">
        <v>61.65</v>
      </c>
      <c r="D8" s="7">
        <v>77.59</v>
      </c>
      <c r="E8" s="7">
        <v>66.62</v>
      </c>
      <c r="F8" s="7">
        <v>79.53</v>
      </c>
    </row>
    <row r="9" spans="1:10" x14ac:dyDescent="0.35">
      <c r="A9" s="7">
        <v>2301301038</v>
      </c>
      <c r="B9" s="7" t="s">
        <v>10</v>
      </c>
      <c r="C9" s="7">
        <v>60.1</v>
      </c>
      <c r="D9" s="7">
        <v>78.040000000000006</v>
      </c>
      <c r="E9" s="7">
        <v>65.61</v>
      </c>
      <c r="F9" s="7">
        <v>74.8</v>
      </c>
    </row>
    <row r="10" spans="1:10" x14ac:dyDescent="0.35">
      <c r="A10" s="7">
        <v>2301301042</v>
      </c>
      <c r="B10" s="7" t="s">
        <v>11</v>
      </c>
      <c r="C10" s="7">
        <v>84.05</v>
      </c>
      <c r="D10" s="7">
        <v>76.680000000000007</v>
      </c>
      <c r="E10" s="7">
        <v>63.99</v>
      </c>
      <c r="F10" s="7">
        <v>91.23</v>
      </c>
    </row>
    <row r="11" spans="1:10" x14ac:dyDescent="0.35">
      <c r="A11" s="7">
        <v>2301301048</v>
      </c>
      <c r="B11" s="7" t="s">
        <v>12</v>
      </c>
      <c r="C11" s="7">
        <v>60.05</v>
      </c>
      <c r="D11" s="7">
        <v>56.29</v>
      </c>
      <c r="E11" s="7">
        <v>73.97</v>
      </c>
      <c r="F11" s="7">
        <v>68.28</v>
      </c>
    </row>
    <row r="12" spans="1:10" x14ac:dyDescent="0.35">
      <c r="A12" s="17" t="s">
        <v>13</v>
      </c>
      <c r="B12" s="17"/>
      <c r="C12" s="5" t="s">
        <v>14</v>
      </c>
      <c r="D12" s="5" t="s">
        <v>14</v>
      </c>
      <c r="E12" s="5" t="s">
        <v>14</v>
      </c>
      <c r="F12" s="5" t="s">
        <v>14</v>
      </c>
    </row>
    <row r="13" spans="1:10" x14ac:dyDescent="0.35">
      <c r="A13" s="8"/>
      <c r="B13" s="8"/>
      <c r="C13" s="5">
        <f>MAX(C2:C11)</f>
        <v>86</v>
      </c>
      <c r="D13" s="5">
        <f t="shared" ref="D13:F13" si="1">MAX(D2:D11)</f>
        <v>79.55</v>
      </c>
      <c r="E13" s="5">
        <f t="shared" si="1"/>
        <v>77.8</v>
      </c>
      <c r="F13" s="5">
        <f t="shared" si="1"/>
        <v>91.23</v>
      </c>
    </row>
    <row r="14" spans="1:10" x14ac:dyDescent="0.35">
      <c r="A14" s="1" t="s">
        <v>20</v>
      </c>
      <c r="B14" s="1"/>
      <c r="C14" s="1"/>
      <c r="D14" s="1"/>
      <c r="E14" s="1"/>
      <c r="F14" s="1"/>
      <c r="G14" s="1"/>
      <c r="H14" s="1"/>
    </row>
    <row r="15" spans="1:10" x14ac:dyDescent="0.35">
      <c r="A15" s="5" t="s">
        <v>21</v>
      </c>
      <c r="B15" s="5" t="s">
        <v>36</v>
      </c>
      <c r="C15" s="5" t="s">
        <v>37</v>
      </c>
      <c r="D15" s="5" t="s">
        <v>36</v>
      </c>
      <c r="E15" s="5" t="s">
        <v>51</v>
      </c>
      <c r="F15" s="5" t="s">
        <v>36</v>
      </c>
      <c r="G15" s="5" t="s">
        <v>60</v>
      </c>
      <c r="H15" s="5" t="s">
        <v>36</v>
      </c>
    </row>
    <row r="16" spans="1:10" x14ac:dyDescent="0.35">
      <c r="A16" s="5" t="s">
        <v>26</v>
      </c>
      <c r="B16" s="10">
        <f>C2/$C$13</f>
        <v>0.76162790697674421</v>
      </c>
      <c r="C16" s="5" t="s">
        <v>38</v>
      </c>
      <c r="D16" s="10">
        <f>D2/$D$13</f>
        <v>0.99698302954116913</v>
      </c>
      <c r="E16" s="5" t="s">
        <v>52</v>
      </c>
      <c r="F16" s="10">
        <f>E2/$E$13</f>
        <v>0.81928020565552706</v>
      </c>
      <c r="G16" s="5" t="s">
        <v>61</v>
      </c>
      <c r="H16" s="10">
        <f>F2/$F$13</f>
        <v>0.82977090869231607</v>
      </c>
    </row>
    <row r="17" spans="1:8" x14ac:dyDescent="0.35">
      <c r="A17" s="5" t="s">
        <v>27</v>
      </c>
      <c r="B17" s="10">
        <f t="shared" ref="B17:B25" si="2">C3/$C$13</f>
        <v>0.93255813953488376</v>
      </c>
      <c r="C17" s="5" t="s">
        <v>42</v>
      </c>
      <c r="D17" s="5">
        <f t="shared" ref="D17:D25" si="3">D3/$D$13</f>
        <v>1</v>
      </c>
      <c r="E17" s="5" t="s">
        <v>53</v>
      </c>
      <c r="F17" s="5">
        <f t="shared" ref="F17:F25" si="4">E3/$E$13</f>
        <v>1</v>
      </c>
      <c r="G17" s="5" t="s">
        <v>62</v>
      </c>
      <c r="H17" s="10">
        <f>F3/$F$13</f>
        <v>0.92349008001753807</v>
      </c>
    </row>
    <row r="18" spans="1:8" x14ac:dyDescent="0.35">
      <c r="A18" s="5" t="s">
        <v>28</v>
      </c>
      <c r="B18" s="10">
        <f t="shared" si="2"/>
        <v>0.74825581395348828</v>
      </c>
      <c r="C18" s="5" t="s">
        <v>45</v>
      </c>
      <c r="D18" s="10">
        <f t="shared" si="3"/>
        <v>0.93563796354494044</v>
      </c>
      <c r="E18" s="5" t="s">
        <v>43</v>
      </c>
      <c r="F18" s="10">
        <f t="shared" si="4"/>
        <v>0.78341902313624689</v>
      </c>
      <c r="G18" s="5" t="s">
        <v>63</v>
      </c>
      <c r="H18" s="10">
        <f t="shared" ref="H18:H25" si="5">F4/$F$13</f>
        <v>0.76498958675874162</v>
      </c>
    </row>
    <row r="19" spans="1:8" x14ac:dyDescent="0.35">
      <c r="A19" s="5" t="s">
        <v>29</v>
      </c>
      <c r="B19" s="5">
        <f t="shared" si="2"/>
        <v>1</v>
      </c>
      <c r="C19" s="5" t="s">
        <v>46</v>
      </c>
      <c r="D19" s="10">
        <f t="shared" si="3"/>
        <v>0.97045883092394725</v>
      </c>
      <c r="E19" s="5" t="s">
        <v>54</v>
      </c>
      <c r="F19" s="10">
        <f t="shared" si="4"/>
        <v>0.998586118251928</v>
      </c>
      <c r="G19" s="5" t="s">
        <v>44</v>
      </c>
      <c r="H19" s="10">
        <f t="shared" si="5"/>
        <v>0.87997369286418936</v>
      </c>
    </row>
    <row r="20" spans="1:8" x14ac:dyDescent="0.35">
      <c r="A20" s="5" t="s">
        <v>30</v>
      </c>
      <c r="B20" s="10">
        <f t="shared" si="2"/>
        <v>0.7930232558139535</v>
      </c>
      <c r="C20" s="5" t="s">
        <v>39</v>
      </c>
      <c r="D20" s="10">
        <f t="shared" si="3"/>
        <v>0.94443746071653045</v>
      </c>
      <c r="E20" s="5" t="s">
        <v>55</v>
      </c>
      <c r="F20" s="10">
        <f t="shared" si="4"/>
        <v>0.91491002570694102</v>
      </c>
      <c r="G20" s="5" t="s">
        <v>64</v>
      </c>
      <c r="H20" s="10">
        <f t="shared" si="5"/>
        <v>0.83097665241696805</v>
      </c>
    </row>
    <row r="21" spans="1:8" x14ac:dyDescent="0.35">
      <c r="A21" s="5" t="s">
        <v>31</v>
      </c>
      <c r="B21" s="5">
        <f t="shared" si="2"/>
        <v>0</v>
      </c>
      <c r="C21" s="5" t="s">
        <v>47</v>
      </c>
      <c r="D21" s="5">
        <f t="shared" si="3"/>
        <v>0</v>
      </c>
      <c r="E21" s="5" t="s">
        <v>56</v>
      </c>
      <c r="F21" s="10">
        <f t="shared" si="4"/>
        <v>2.1850899742930593E-3</v>
      </c>
      <c r="G21" s="5" t="s">
        <v>65</v>
      </c>
      <c r="H21" s="5">
        <f t="shared" si="5"/>
        <v>0</v>
      </c>
    </row>
    <row r="22" spans="1:8" x14ac:dyDescent="0.35">
      <c r="A22" s="5" t="s">
        <v>32</v>
      </c>
      <c r="B22" s="10">
        <f t="shared" si="2"/>
        <v>0.7168604651162791</v>
      </c>
      <c r="C22" s="5" t="s">
        <v>48</v>
      </c>
      <c r="D22" s="10">
        <f t="shared" si="3"/>
        <v>0.97536140791954751</v>
      </c>
      <c r="E22" s="5" t="s">
        <v>57</v>
      </c>
      <c r="F22" s="10">
        <f t="shared" si="4"/>
        <v>0.85629820051413885</v>
      </c>
      <c r="G22" s="5" t="s">
        <v>66</v>
      </c>
      <c r="H22" s="10">
        <f t="shared" si="5"/>
        <v>0.87175271292338041</v>
      </c>
    </row>
    <row r="23" spans="1:8" x14ac:dyDescent="0.35">
      <c r="A23" s="5" t="s">
        <v>33</v>
      </c>
      <c r="B23" s="10">
        <f t="shared" si="2"/>
        <v>0.69883720930232562</v>
      </c>
      <c r="C23" s="5" t="s">
        <v>49</v>
      </c>
      <c r="D23" s="10">
        <f t="shared" si="3"/>
        <v>0.98101822752985557</v>
      </c>
      <c r="E23" s="5" t="s">
        <v>40</v>
      </c>
      <c r="F23" s="10">
        <f t="shared" si="4"/>
        <v>0.84331619537275071</v>
      </c>
      <c r="G23" s="5" t="s">
        <v>67</v>
      </c>
      <c r="H23" s="10">
        <f t="shared" si="5"/>
        <v>0.81990573276334533</v>
      </c>
    </row>
    <row r="24" spans="1:8" x14ac:dyDescent="0.35">
      <c r="A24" s="5" t="s">
        <v>34</v>
      </c>
      <c r="B24" s="10">
        <f t="shared" si="2"/>
        <v>0.97732558139534875</v>
      </c>
      <c r="C24" s="5" t="s">
        <v>41</v>
      </c>
      <c r="D24" s="10">
        <f t="shared" si="3"/>
        <v>0.96392206159648031</v>
      </c>
      <c r="E24" s="5" t="s">
        <v>58</v>
      </c>
      <c r="F24" s="10">
        <f t="shared" si="4"/>
        <v>0.82249357326478156</v>
      </c>
      <c r="G24" s="5" t="s">
        <v>68</v>
      </c>
      <c r="H24" s="5">
        <f t="shared" si="5"/>
        <v>1</v>
      </c>
    </row>
    <row r="25" spans="1:8" x14ac:dyDescent="0.35">
      <c r="A25" s="5" t="s">
        <v>35</v>
      </c>
      <c r="B25" s="10">
        <f t="shared" si="2"/>
        <v>0.69825581395348835</v>
      </c>
      <c r="C25" s="5" t="s">
        <v>50</v>
      </c>
      <c r="D25" s="10">
        <f t="shared" si="3"/>
        <v>0.707605279698303</v>
      </c>
      <c r="E25" s="5" t="s">
        <v>59</v>
      </c>
      <c r="F25" s="10">
        <f t="shared" si="4"/>
        <v>0.95077120822622108</v>
      </c>
      <c r="G25" s="5" t="s">
        <v>69</v>
      </c>
      <c r="H25" s="10">
        <f t="shared" si="5"/>
        <v>0.74843801381124631</v>
      </c>
    </row>
    <row r="27" spans="1:8" x14ac:dyDescent="0.35">
      <c r="A27" t="s">
        <v>70</v>
      </c>
    </row>
    <row r="28" spans="1:8" x14ac:dyDescent="0.35">
      <c r="A28" s="5" t="s">
        <v>0</v>
      </c>
      <c r="B28" s="6" t="s">
        <v>2</v>
      </c>
      <c r="C28" s="6" t="s">
        <v>22</v>
      </c>
      <c r="D28" s="6" t="s">
        <v>23</v>
      </c>
      <c r="E28" s="6" t="s">
        <v>24</v>
      </c>
      <c r="F28" s="6" t="s">
        <v>25</v>
      </c>
    </row>
    <row r="29" spans="1:8" x14ac:dyDescent="0.35">
      <c r="A29" s="7">
        <v>2301301002</v>
      </c>
      <c r="B29" s="7" t="s">
        <v>3</v>
      </c>
      <c r="C29" s="10">
        <f>B16</f>
        <v>0.76162790697674421</v>
      </c>
      <c r="D29" s="10">
        <f>D16</f>
        <v>0.99698302954116913</v>
      </c>
      <c r="E29" s="10">
        <f>F16</f>
        <v>0.81928020565552706</v>
      </c>
      <c r="F29" s="10">
        <f>H16</f>
        <v>0.82977090869231607</v>
      </c>
    </row>
    <row r="30" spans="1:8" x14ac:dyDescent="0.35">
      <c r="A30" s="7">
        <v>2301301009</v>
      </c>
      <c r="B30" s="7" t="s">
        <v>4</v>
      </c>
      <c r="C30" s="10">
        <f t="shared" ref="C30:C38" si="6">B17</f>
        <v>0.93255813953488376</v>
      </c>
      <c r="D30" s="5">
        <f t="shared" ref="D30:D38" si="7">D17</f>
        <v>1</v>
      </c>
      <c r="E30" s="5">
        <f t="shared" ref="E30:E38" si="8">F17</f>
        <v>1</v>
      </c>
      <c r="F30" s="10">
        <f t="shared" ref="F30:F38" si="9">H17</f>
        <v>0.92349008001753807</v>
      </c>
    </row>
    <row r="31" spans="1:8" x14ac:dyDescent="0.35">
      <c r="A31" s="7">
        <v>2301301012</v>
      </c>
      <c r="B31" s="7" t="s">
        <v>5</v>
      </c>
      <c r="C31" s="10">
        <f t="shared" si="6"/>
        <v>0.74825581395348828</v>
      </c>
      <c r="D31" s="10">
        <f t="shared" si="7"/>
        <v>0.93563796354494044</v>
      </c>
      <c r="E31" s="10">
        <f t="shared" si="8"/>
        <v>0.78341902313624689</v>
      </c>
      <c r="F31" s="10">
        <f t="shared" si="9"/>
        <v>0.76498958675874162</v>
      </c>
    </row>
    <row r="32" spans="1:8" x14ac:dyDescent="0.35">
      <c r="A32" s="7">
        <v>2301301023</v>
      </c>
      <c r="B32" s="7" t="s">
        <v>6</v>
      </c>
      <c r="C32" s="5">
        <f t="shared" si="6"/>
        <v>1</v>
      </c>
      <c r="D32" s="10">
        <f t="shared" si="7"/>
        <v>0.97045883092394725</v>
      </c>
      <c r="E32" s="10">
        <f t="shared" si="8"/>
        <v>0.998586118251928</v>
      </c>
      <c r="F32" s="10">
        <f t="shared" si="9"/>
        <v>0.87997369286418936</v>
      </c>
    </row>
    <row r="33" spans="1:6" x14ac:dyDescent="0.35">
      <c r="A33" s="7">
        <v>2301301028</v>
      </c>
      <c r="B33" s="7" t="s">
        <v>7</v>
      </c>
      <c r="C33" s="10">
        <f t="shared" si="6"/>
        <v>0.7930232558139535</v>
      </c>
      <c r="D33" s="10">
        <f t="shared" si="7"/>
        <v>0.94443746071653045</v>
      </c>
      <c r="E33" s="10">
        <f t="shared" si="8"/>
        <v>0.91491002570694102</v>
      </c>
      <c r="F33" s="10">
        <f t="shared" si="9"/>
        <v>0.83097665241696805</v>
      </c>
    </row>
    <row r="34" spans="1:6" x14ac:dyDescent="0.35">
      <c r="A34" s="7">
        <v>2301301033</v>
      </c>
      <c r="B34" s="7" t="s">
        <v>8</v>
      </c>
      <c r="C34" s="5">
        <f t="shared" si="6"/>
        <v>0</v>
      </c>
      <c r="D34" s="5">
        <f t="shared" si="7"/>
        <v>0</v>
      </c>
      <c r="E34" s="10">
        <f t="shared" si="8"/>
        <v>2.1850899742930593E-3</v>
      </c>
      <c r="F34" s="5">
        <f t="shared" si="9"/>
        <v>0</v>
      </c>
    </row>
    <row r="35" spans="1:6" x14ac:dyDescent="0.35">
      <c r="A35" s="7">
        <v>2301301037</v>
      </c>
      <c r="B35" s="7" t="s">
        <v>9</v>
      </c>
      <c r="C35" s="10">
        <f t="shared" si="6"/>
        <v>0.7168604651162791</v>
      </c>
      <c r="D35" s="10">
        <f t="shared" si="7"/>
        <v>0.97536140791954751</v>
      </c>
      <c r="E35" s="10">
        <f t="shared" si="8"/>
        <v>0.85629820051413885</v>
      </c>
      <c r="F35" s="10">
        <f t="shared" si="9"/>
        <v>0.87175271292338041</v>
      </c>
    </row>
    <row r="36" spans="1:6" x14ac:dyDescent="0.35">
      <c r="A36" s="7">
        <v>2301301038</v>
      </c>
      <c r="B36" s="7" t="s">
        <v>10</v>
      </c>
      <c r="C36" s="10">
        <f t="shared" si="6"/>
        <v>0.69883720930232562</v>
      </c>
      <c r="D36" s="10">
        <f t="shared" si="7"/>
        <v>0.98101822752985557</v>
      </c>
      <c r="E36" s="10">
        <f t="shared" si="8"/>
        <v>0.84331619537275071</v>
      </c>
      <c r="F36" s="10">
        <f t="shared" si="9"/>
        <v>0.81990573276334533</v>
      </c>
    </row>
    <row r="37" spans="1:6" x14ac:dyDescent="0.35">
      <c r="A37" s="7">
        <v>2301301042</v>
      </c>
      <c r="B37" s="7" t="s">
        <v>11</v>
      </c>
      <c r="C37" s="10">
        <f t="shared" si="6"/>
        <v>0.97732558139534875</v>
      </c>
      <c r="D37" s="10">
        <f t="shared" si="7"/>
        <v>0.96392206159648031</v>
      </c>
      <c r="E37" s="10">
        <f t="shared" si="8"/>
        <v>0.82249357326478156</v>
      </c>
      <c r="F37" s="5">
        <f t="shared" si="9"/>
        <v>1</v>
      </c>
    </row>
    <row r="38" spans="1:6" x14ac:dyDescent="0.35">
      <c r="A38" s="7">
        <v>2301301048</v>
      </c>
      <c r="B38" s="7" t="s">
        <v>12</v>
      </c>
      <c r="C38" s="10">
        <f t="shared" si="6"/>
        <v>0.69825581395348835</v>
      </c>
      <c r="D38" s="10">
        <f t="shared" si="7"/>
        <v>0.707605279698303</v>
      </c>
      <c r="E38" s="10">
        <f t="shared" si="8"/>
        <v>0.95077120822622108</v>
      </c>
      <c r="F38" s="10">
        <f t="shared" si="9"/>
        <v>0.74843801381124631</v>
      </c>
    </row>
    <row r="40" spans="1:6" x14ac:dyDescent="0.35">
      <c r="A40" t="s">
        <v>71</v>
      </c>
    </row>
    <row r="41" spans="1:6" x14ac:dyDescent="0.35">
      <c r="A41" t="s">
        <v>73</v>
      </c>
      <c r="B41" s="4">
        <f>($J$2*C29)+($J$3*D29)+($J$4*E29)+($J$5*F29)</f>
        <v>0.85507902757702803</v>
      </c>
    </row>
    <row r="42" spans="1:6" x14ac:dyDescent="0.35">
      <c r="A42" t="s">
        <v>74</v>
      </c>
      <c r="B42" s="4">
        <f>($J$2*C30)+($J$3*D30)+($J$4*E30)+($J$5*F30)</f>
        <v>0.96980090844104372</v>
      </c>
    </row>
    <row r="43" spans="1:6" x14ac:dyDescent="0.35">
      <c r="A43" t="s">
        <v>75</v>
      </c>
      <c r="B43" s="4">
        <f t="shared" ref="B43:B50" si="10">($J$2*C31)+($J$3*D31)+($J$4*E31)+($J$5*F31)</f>
        <v>0.81423074114687033</v>
      </c>
    </row>
    <row r="44" spans="1:6" x14ac:dyDescent="0.35">
      <c r="A44" t="s">
        <v>76</v>
      </c>
      <c r="B44" s="4">
        <f t="shared" si="10"/>
        <v>0.97400908445941992</v>
      </c>
    </row>
    <row r="45" spans="1:6" x14ac:dyDescent="0.35">
      <c r="A45" t="s">
        <v>77</v>
      </c>
      <c r="B45" s="4">
        <f t="shared" si="10"/>
        <v>0.87653116241311679</v>
      </c>
    </row>
    <row r="46" spans="1:6" x14ac:dyDescent="0.35">
      <c r="A46" t="s">
        <v>78</v>
      </c>
      <c r="B46" s="4">
        <f t="shared" si="10"/>
        <v>6.2431142122658834E-4</v>
      </c>
    </row>
    <row r="47" spans="1:6" x14ac:dyDescent="0.35">
      <c r="A47" t="s">
        <v>79</v>
      </c>
      <c r="B47" s="4">
        <f t="shared" si="10"/>
        <v>0.85268469428904448</v>
      </c>
    </row>
    <row r="48" spans="1:6" x14ac:dyDescent="0.35">
      <c r="A48" t="s">
        <v>80</v>
      </c>
      <c r="B48" s="4">
        <f t="shared" si="10"/>
        <v>0.83803557102474402</v>
      </c>
    </row>
    <row r="49" spans="1:3" x14ac:dyDescent="0.35">
      <c r="A49" t="s">
        <v>81</v>
      </c>
      <c r="B49" s="4">
        <f t="shared" si="10"/>
        <v>0.93249749035903151</v>
      </c>
    </row>
    <row r="50" spans="1:3" x14ac:dyDescent="0.35">
      <c r="A50" t="s">
        <v>82</v>
      </c>
      <c r="B50" s="4">
        <f t="shared" si="10"/>
        <v>0.78024323108103877</v>
      </c>
    </row>
    <row r="52" spans="1:3" x14ac:dyDescent="0.35">
      <c r="A52" t="s">
        <v>72</v>
      </c>
    </row>
    <row r="53" spans="1:3" x14ac:dyDescent="0.35">
      <c r="A53" s="7">
        <v>2301301002</v>
      </c>
      <c r="B53" s="7" t="s">
        <v>3</v>
      </c>
      <c r="C53" s="10">
        <f>B41</f>
        <v>0.85507902757702803</v>
      </c>
    </row>
    <row r="54" spans="1:3" x14ac:dyDescent="0.35">
      <c r="A54" s="7">
        <v>2301301009</v>
      </c>
      <c r="B54" s="7" t="s">
        <v>4</v>
      </c>
      <c r="C54" s="10">
        <f t="shared" ref="C54:C62" si="11">B42</f>
        <v>0.96980090844104372</v>
      </c>
    </row>
    <row r="55" spans="1:3" x14ac:dyDescent="0.35">
      <c r="A55" s="7">
        <v>2301301012</v>
      </c>
      <c r="B55" s="7" t="s">
        <v>5</v>
      </c>
      <c r="C55" s="10">
        <f t="shared" si="11"/>
        <v>0.81423074114687033</v>
      </c>
    </row>
    <row r="56" spans="1:3" x14ac:dyDescent="0.35">
      <c r="A56" s="7">
        <v>2301301023</v>
      </c>
      <c r="B56" s="7" t="s">
        <v>6</v>
      </c>
      <c r="C56" s="10">
        <f t="shared" si="11"/>
        <v>0.97400908445941992</v>
      </c>
    </row>
    <row r="57" spans="1:3" x14ac:dyDescent="0.35">
      <c r="A57" s="7">
        <v>2301301028</v>
      </c>
      <c r="B57" s="7" t="s">
        <v>7</v>
      </c>
      <c r="C57" s="10">
        <f t="shared" si="11"/>
        <v>0.87653116241311679</v>
      </c>
    </row>
    <row r="58" spans="1:3" x14ac:dyDescent="0.35">
      <c r="A58" s="7">
        <v>2301301033</v>
      </c>
      <c r="B58" s="7" t="s">
        <v>8</v>
      </c>
      <c r="C58" s="10">
        <f t="shared" si="11"/>
        <v>6.2431142122658834E-4</v>
      </c>
    </row>
    <row r="59" spans="1:3" x14ac:dyDescent="0.35">
      <c r="A59" s="7">
        <v>2301301037</v>
      </c>
      <c r="B59" s="7" t="s">
        <v>9</v>
      </c>
      <c r="C59" s="10">
        <f t="shared" si="11"/>
        <v>0.85268469428904448</v>
      </c>
    </row>
    <row r="60" spans="1:3" x14ac:dyDescent="0.35">
      <c r="A60" s="7">
        <v>2301301038</v>
      </c>
      <c r="B60" s="7" t="s">
        <v>10</v>
      </c>
      <c r="C60" s="10">
        <f t="shared" si="11"/>
        <v>0.83803557102474402</v>
      </c>
    </row>
    <row r="61" spans="1:3" x14ac:dyDescent="0.35">
      <c r="A61" s="7">
        <v>2301301042</v>
      </c>
      <c r="B61" s="7" t="s">
        <v>11</v>
      </c>
      <c r="C61" s="10">
        <f t="shared" si="11"/>
        <v>0.93249749035903151</v>
      </c>
    </row>
    <row r="62" spans="1:3" x14ac:dyDescent="0.35">
      <c r="A62" s="7">
        <v>2301301048</v>
      </c>
      <c r="B62" s="7" t="s">
        <v>12</v>
      </c>
      <c r="C62" s="10">
        <f t="shared" si="11"/>
        <v>0.78024323108103877</v>
      </c>
    </row>
  </sheetData>
  <mergeCells count="1">
    <mergeCell ref="A12:B12"/>
  </mergeCells>
  <phoneticPr fontId="3" type="noConversion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6D43-02E4-42F5-A6BB-9E6621E35C41}">
  <dimension ref="A1:S66"/>
  <sheetViews>
    <sheetView tabSelected="1" zoomScale="44" workbookViewId="0">
      <selection activeCell="O3" sqref="O3"/>
    </sheetView>
  </sheetViews>
  <sheetFormatPr defaultRowHeight="14.5" x14ac:dyDescent="0.35"/>
  <cols>
    <col min="1" max="1" width="12.453125" bestFit="1" customWidth="1"/>
    <col min="2" max="2" width="15.54296875" customWidth="1"/>
    <col min="3" max="3" width="23.26953125" customWidth="1"/>
    <col min="4" max="4" width="14.7265625" customWidth="1"/>
    <col min="5" max="5" width="12.7265625" customWidth="1"/>
    <col min="6" max="6" width="13.81640625" customWidth="1"/>
    <col min="7" max="7" width="15.453125" customWidth="1"/>
    <col min="8" max="8" width="13.54296875" customWidth="1"/>
    <col min="9" max="9" width="14.7265625" customWidth="1"/>
    <col min="10" max="10" width="15.26953125" customWidth="1"/>
    <col min="11" max="11" width="27.54296875" bestFit="1" customWidth="1"/>
    <col min="12" max="12" width="14.1796875" customWidth="1"/>
    <col min="13" max="13" width="28.54296875" customWidth="1"/>
    <col min="14" max="14" width="18.1796875" customWidth="1"/>
    <col min="15" max="15" width="15.26953125" customWidth="1"/>
    <col min="16" max="16" width="16" customWidth="1"/>
    <col min="17" max="17" width="15.54296875" customWidth="1"/>
    <col min="18" max="18" width="17.26953125" customWidth="1"/>
  </cols>
  <sheetData>
    <row r="1" spans="1:19" ht="25" x14ac:dyDescent="0.35">
      <c r="A1" s="11" t="s">
        <v>83</v>
      </c>
      <c r="B1" s="11" t="s">
        <v>2</v>
      </c>
      <c r="C1" s="11" t="s">
        <v>84</v>
      </c>
      <c r="D1" s="11" t="s">
        <v>85</v>
      </c>
      <c r="E1" s="11" t="s">
        <v>86</v>
      </c>
      <c r="F1" s="11" t="s">
        <v>87</v>
      </c>
      <c r="G1" s="11" t="s">
        <v>88</v>
      </c>
      <c r="H1" s="11" t="s">
        <v>89</v>
      </c>
      <c r="I1" s="11" t="s">
        <v>90</v>
      </c>
      <c r="J1" s="11" t="s">
        <v>91</v>
      </c>
      <c r="K1" s="12" t="s">
        <v>92</v>
      </c>
      <c r="M1" s="22" t="s">
        <v>160</v>
      </c>
      <c r="N1" s="23"/>
      <c r="O1" s="23"/>
    </row>
    <row r="2" spans="1:19" ht="28" x14ac:dyDescent="0.35">
      <c r="A2" s="13">
        <v>2301301001</v>
      </c>
      <c r="B2" s="13" t="s">
        <v>93</v>
      </c>
      <c r="C2" s="13">
        <v>80.78</v>
      </c>
      <c r="D2" s="13">
        <v>90</v>
      </c>
      <c r="E2" s="13">
        <v>80.91</v>
      </c>
      <c r="F2" s="13">
        <v>80.459999999999994</v>
      </c>
      <c r="G2" s="13">
        <v>78.08</v>
      </c>
      <c r="H2" s="13">
        <v>86.25</v>
      </c>
      <c r="I2" s="13">
        <v>82.75</v>
      </c>
      <c r="J2" s="13">
        <v>75.38</v>
      </c>
      <c r="K2" s="13">
        <v>81.47</v>
      </c>
      <c r="M2" s="15" t="s">
        <v>84</v>
      </c>
      <c r="N2" s="1">
        <v>2</v>
      </c>
      <c r="O2" s="1">
        <f>N2/$N$11</f>
        <v>0.11764705882352941</v>
      </c>
    </row>
    <row r="3" spans="1:19" ht="28" x14ac:dyDescent="0.35">
      <c r="A3" s="13">
        <v>2301301002</v>
      </c>
      <c r="B3" s="13" t="s">
        <v>3</v>
      </c>
      <c r="C3" s="13">
        <v>71.22</v>
      </c>
      <c r="D3" s="13">
        <v>70</v>
      </c>
      <c r="E3" s="13">
        <v>70.7</v>
      </c>
      <c r="F3" s="13">
        <v>76.260000000000005</v>
      </c>
      <c r="G3" s="13">
        <v>80.16</v>
      </c>
      <c r="H3" s="13">
        <v>63.14</v>
      </c>
      <c r="I3" s="13">
        <v>67.7</v>
      </c>
      <c r="J3" s="13">
        <v>60.87</v>
      </c>
      <c r="K3" s="13">
        <v>66.02</v>
      </c>
      <c r="M3" s="15" t="s">
        <v>85</v>
      </c>
      <c r="N3" s="1">
        <v>2</v>
      </c>
      <c r="O3" s="1">
        <f>N3/$N$11</f>
        <v>0.11764705882352941</v>
      </c>
    </row>
    <row r="4" spans="1:19" ht="28" x14ac:dyDescent="0.35">
      <c r="A4" s="13">
        <v>2301301003</v>
      </c>
      <c r="B4" s="13" t="s">
        <v>94</v>
      </c>
      <c r="C4" s="13">
        <v>65.790000000000006</v>
      </c>
      <c r="D4" s="13">
        <v>68.900000000000006</v>
      </c>
      <c r="E4" s="13">
        <v>75.95</v>
      </c>
      <c r="F4" s="13">
        <v>78.12</v>
      </c>
      <c r="G4" s="13">
        <v>65.38</v>
      </c>
      <c r="H4" s="13">
        <v>66.849999999999994</v>
      </c>
      <c r="I4" s="13">
        <v>71.09</v>
      </c>
      <c r="J4" s="13">
        <v>70.56</v>
      </c>
      <c r="K4" s="13">
        <v>76.900000000000006</v>
      </c>
      <c r="M4" s="15" t="s">
        <v>86</v>
      </c>
      <c r="N4" s="1">
        <v>1</v>
      </c>
      <c r="O4" s="1">
        <f>N4/$N$11</f>
        <v>5.8823529411764705E-2</v>
      </c>
    </row>
    <row r="5" spans="1:19" ht="24.75" customHeight="1" x14ac:dyDescent="0.35">
      <c r="A5" s="13">
        <v>2301301004</v>
      </c>
      <c r="B5" s="13" t="s">
        <v>95</v>
      </c>
      <c r="C5" s="13">
        <v>68.8</v>
      </c>
      <c r="D5" s="13">
        <v>87</v>
      </c>
      <c r="E5" s="13">
        <v>78.760000000000005</v>
      </c>
      <c r="F5" s="13">
        <v>77.47</v>
      </c>
      <c r="G5" s="13">
        <v>70.53</v>
      </c>
      <c r="H5" s="13">
        <v>72.95</v>
      </c>
      <c r="I5" s="13">
        <v>78.78</v>
      </c>
      <c r="J5" s="13">
        <v>72.91</v>
      </c>
      <c r="K5" s="13">
        <v>70.33</v>
      </c>
      <c r="M5" s="15" t="s">
        <v>87</v>
      </c>
      <c r="N5" s="1">
        <v>2</v>
      </c>
      <c r="O5" s="1">
        <f>N5/$N$11</f>
        <v>0.11764705882352941</v>
      </c>
    </row>
    <row r="6" spans="1:19" ht="28" x14ac:dyDescent="0.35">
      <c r="A6" s="13">
        <v>2301301005</v>
      </c>
      <c r="B6" s="13" t="s">
        <v>96</v>
      </c>
      <c r="C6" s="13">
        <v>71.64</v>
      </c>
      <c r="D6" s="13">
        <v>78.5</v>
      </c>
      <c r="E6" s="13">
        <v>73.760000000000005</v>
      </c>
      <c r="F6" s="13">
        <v>77.790000000000006</v>
      </c>
      <c r="G6" s="13">
        <v>72.98</v>
      </c>
      <c r="H6" s="13">
        <v>70.150000000000006</v>
      </c>
      <c r="I6" s="13">
        <v>75</v>
      </c>
      <c r="J6" s="13">
        <v>67.67</v>
      </c>
      <c r="K6" s="13">
        <v>81</v>
      </c>
      <c r="M6" s="15" t="s">
        <v>88</v>
      </c>
      <c r="N6" s="1">
        <v>2</v>
      </c>
      <c r="O6" s="1">
        <f>N6/$N$11</f>
        <v>0.11764705882352941</v>
      </c>
    </row>
    <row r="7" spans="1:19" ht="28" x14ac:dyDescent="0.35">
      <c r="A7" s="13">
        <v>2301301006</v>
      </c>
      <c r="B7" s="13" t="s">
        <v>97</v>
      </c>
      <c r="C7" s="13">
        <v>79.17</v>
      </c>
      <c r="D7" s="13">
        <v>93.4</v>
      </c>
      <c r="E7" s="13">
        <v>78.91</v>
      </c>
      <c r="F7" s="13">
        <v>80.08</v>
      </c>
      <c r="G7" s="13">
        <v>72.040000000000006</v>
      </c>
      <c r="H7" s="13">
        <v>86.4</v>
      </c>
      <c r="I7" s="13">
        <v>80</v>
      </c>
      <c r="J7" s="13">
        <v>80.5</v>
      </c>
      <c r="K7" s="13">
        <v>83.4</v>
      </c>
      <c r="M7" s="15" t="s">
        <v>89</v>
      </c>
      <c r="N7" s="1">
        <v>2</v>
      </c>
      <c r="O7" s="1">
        <f>N7/$N$11</f>
        <v>0.11764705882352941</v>
      </c>
    </row>
    <row r="8" spans="1:19" x14ac:dyDescent="0.35">
      <c r="A8" s="13">
        <v>2301301007</v>
      </c>
      <c r="B8" s="13" t="s">
        <v>98</v>
      </c>
      <c r="C8" s="13">
        <v>76.8</v>
      </c>
      <c r="D8" s="13">
        <v>91.1</v>
      </c>
      <c r="E8" s="13">
        <v>73.84</v>
      </c>
      <c r="F8" s="13">
        <v>79.94</v>
      </c>
      <c r="G8" s="13">
        <v>84.92</v>
      </c>
      <c r="H8" s="13">
        <v>75.2</v>
      </c>
      <c r="I8" s="13">
        <v>83.49</v>
      </c>
      <c r="J8" s="13">
        <v>66.14</v>
      </c>
      <c r="K8" s="13">
        <v>70.33</v>
      </c>
      <c r="M8" s="15" t="s">
        <v>90</v>
      </c>
      <c r="N8" s="1">
        <v>2</v>
      </c>
      <c r="O8" s="1">
        <f>N8/$N$11</f>
        <v>0.11764705882352941</v>
      </c>
    </row>
    <row r="9" spans="1:19" ht="42" x14ac:dyDescent="0.35">
      <c r="A9" s="13">
        <v>2301301011</v>
      </c>
      <c r="B9" s="13" t="s">
        <v>99</v>
      </c>
      <c r="C9" s="13">
        <v>72.069999999999993</v>
      </c>
      <c r="D9" s="13">
        <v>85</v>
      </c>
      <c r="E9" s="13">
        <v>70.099999999999994</v>
      </c>
      <c r="F9" s="13">
        <v>76.599999999999994</v>
      </c>
      <c r="G9" s="13">
        <v>70.08</v>
      </c>
      <c r="H9" s="13">
        <v>66.05</v>
      </c>
      <c r="I9" s="13">
        <v>72.34</v>
      </c>
      <c r="J9" s="13">
        <v>67.099999999999994</v>
      </c>
      <c r="K9" s="13">
        <v>75.599999999999994</v>
      </c>
      <c r="M9" s="15" t="s">
        <v>91</v>
      </c>
      <c r="N9" s="1">
        <v>2</v>
      </c>
      <c r="O9" s="1">
        <f>N9/$N$11</f>
        <v>0.11764705882352941</v>
      </c>
    </row>
    <row r="10" spans="1:19" ht="28" x14ac:dyDescent="0.35">
      <c r="A10" s="13">
        <v>2301301013</v>
      </c>
      <c r="B10" s="13" t="s">
        <v>100</v>
      </c>
      <c r="C10" s="13">
        <v>73.040000000000006</v>
      </c>
      <c r="D10" s="13">
        <v>81</v>
      </c>
      <c r="E10" s="13">
        <v>82.33</v>
      </c>
      <c r="F10" s="13">
        <v>79.38</v>
      </c>
      <c r="G10" s="13">
        <v>74.290000000000006</v>
      </c>
      <c r="H10" s="13">
        <v>74.599999999999994</v>
      </c>
      <c r="I10" s="13">
        <v>82.5</v>
      </c>
      <c r="J10" s="13">
        <v>75.599999999999994</v>
      </c>
      <c r="K10" s="13">
        <v>81.88</v>
      </c>
      <c r="M10" s="16" t="s">
        <v>92</v>
      </c>
      <c r="N10" s="1">
        <v>2</v>
      </c>
      <c r="O10" s="1">
        <f>N10/$N$11</f>
        <v>0.11764705882352941</v>
      </c>
    </row>
    <row r="11" spans="1:19" ht="42" x14ac:dyDescent="0.35">
      <c r="A11" s="13">
        <v>2301301014</v>
      </c>
      <c r="B11" s="13" t="s">
        <v>101</v>
      </c>
      <c r="C11" s="13">
        <v>69.680000000000007</v>
      </c>
      <c r="D11" s="13">
        <v>73.2</v>
      </c>
      <c r="E11" s="13">
        <v>75.69</v>
      </c>
      <c r="F11" s="13">
        <v>77.27</v>
      </c>
      <c r="G11" s="13">
        <v>80.900000000000006</v>
      </c>
      <c r="H11" s="13">
        <v>69.400000000000006</v>
      </c>
      <c r="I11" s="13">
        <v>70.09</v>
      </c>
      <c r="J11" s="13">
        <v>64.05</v>
      </c>
      <c r="K11" s="13">
        <v>68.150000000000006</v>
      </c>
      <c r="N11" s="1">
        <f>SUM(N2:N10)</f>
        <v>17</v>
      </c>
    </row>
    <row r="12" spans="1:19" x14ac:dyDescent="0.35">
      <c r="A12" s="17" t="s">
        <v>13</v>
      </c>
      <c r="B12" s="17"/>
      <c r="C12" s="5" t="s">
        <v>14</v>
      </c>
      <c r="D12" s="5" t="s">
        <v>14</v>
      </c>
      <c r="E12" s="5" t="s">
        <v>14</v>
      </c>
      <c r="F12" s="5" t="s">
        <v>14</v>
      </c>
      <c r="G12" s="5" t="s">
        <v>14</v>
      </c>
      <c r="H12" s="5" t="s">
        <v>14</v>
      </c>
      <c r="I12" s="5" t="s">
        <v>14</v>
      </c>
      <c r="J12" s="5" t="s">
        <v>14</v>
      </c>
      <c r="K12" s="5" t="s">
        <v>14</v>
      </c>
    </row>
    <row r="13" spans="1:19" x14ac:dyDescent="0.35">
      <c r="A13" s="18"/>
      <c r="B13" s="18"/>
      <c r="C13" s="14">
        <f t="shared" ref="C13:K13" si="0">MAX(C2:C11)</f>
        <v>80.78</v>
      </c>
      <c r="D13" s="14">
        <f t="shared" si="0"/>
        <v>93.4</v>
      </c>
      <c r="E13" s="14">
        <f t="shared" si="0"/>
        <v>82.33</v>
      </c>
      <c r="F13" s="14">
        <f t="shared" si="0"/>
        <v>80.459999999999994</v>
      </c>
      <c r="G13" s="14">
        <f t="shared" si="0"/>
        <v>84.92</v>
      </c>
      <c r="H13" s="14">
        <f t="shared" si="0"/>
        <v>86.4</v>
      </c>
      <c r="I13" s="14">
        <f t="shared" si="0"/>
        <v>83.49</v>
      </c>
      <c r="J13" s="14">
        <f t="shared" si="0"/>
        <v>80.5</v>
      </c>
      <c r="K13" s="14">
        <f t="shared" si="0"/>
        <v>83.4</v>
      </c>
    </row>
    <row r="15" spans="1:19" x14ac:dyDescent="0.35">
      <c r="A15" s="19" t="s">
        <v>102</v>
      </c>
      <c r="B15" s="20"/>
    </row>
    <row r="16" spans="1:19" x14ac:dyDescent="0.35">
      <c r="A16" s="5" t="s">
        <v>21</v>
      </c>
      <c r="B16" s="5" t="s">
        <v>36</v>
      </c>
      <c r="C16" s="5" t="s">
        <v>37</v>
      </c>
      <c r="D16" s="5" t="s">
        <v>36</v>
      </c>
      <c r="E16" s="5" t="s">
        <v>51</v>
      </c>
      <c r="F16" s="5" t="s">
        <v>36</v>
      </c>
      <c r="G16" s="5" t="s">
        <v>60</v>
      </c>
      <c r="H16" s="5" t="s">
        <v>36</v>
      </c>
      <c r="I16" s="5" t="s">
        <v>103</v>
      </c>
      <c r="J16" s="5" t="s">
        <v>36</v>
      </c>
      <c r="K16" s="5" t="s">
        <v>104</v>
      </c>
      <c r="L16" s="5" t="s">
        <v>36</v>
      </c>
      <c r="M16" s="5" t="s">
        <v>105</v>
      </c>
      <c r="N16" s="5" t="s">
        <v>36</v>
      </c>
      <c r="O16" s="5" t="s">
        <v>106</v>
      </c>
      <c r="P16" s="5" t="s">
        <v>36</v>
      </c>
      <c r="Q16" s="5" t="s">
        <v>107</v>
      </c>
      <c r="R16" s="5" t="s">
        <v>36</v>
      </c>
      <c r="S16" s="1"/>
    </row>
    <row r="17" spans="1:18" x14ac:dyDescent="0.35">
      <c r="A17" s="5" t="s">
        <v>26</v>
      </c>
      <c r="B17" s="5">
        <f>C2/$C$13</f>
        <v>1</v>
      </c>
      <c r="C17" s="5" t="s">
        <v>38</v>
      </c>
      <c r="D17" s="5">
        <f>D2/$D$13</f>
        <v>0.9635974304068522</v>
      </c>
      <c r="E17" s="5" t="s">
        <v>52</v>
      </c>
      <c r="F17" s="5">
        <f>E2/$E$13</f>
        <v>0.98275233815134211</v>
      </c>
      <c r="G17" s="5" t="s">
        <v>61</v>
      </c>
      <c r="H17" s="5">
        <f>F2/$F$13</f>
        <v>1</v>
      </c>
      <c r="I17" s="5" t="s">
        <v>108</v>
      </c>
      <c r="J17" s="5">
        <f>G2/$G$13</f>
        <v>0.91945360339142723</v>
      </c>
      <c r="K17" s="5" t="s">
        <v>109</v>
      </c>
      <c r="L17" s="5">
        <f>H2/$H$13</f>
        <v>0.99826388888888884</v>
      </c>
      <c r="M17" s="5" t="s">
        <v>110</v>
      </c>
      <c r="N17" s="5">
        <f>I2/$I$13</f>
        <v>0.99113666307342208</v>
      </c>
      <c r="O17" s="5" t="s">
        <v>111</v>
      </c>
      <c r="P17" s="5">
        <f>J2/$J$13</f>
        <v>0.93639751552795025</v>
      </c>
      <c r="Q17" s="5" t="s">
        <v>112</v>
      </c>
      <c r="R17" s="5">
        <f>K2/$K$13</f>
        <v>0.97685851318944839</v>
      </c>
    </row>
    <row r="18" spans="1:18" x14ac:dyDescent="0.35">
      <c r="A18" s="5" t="s">
        <v>27</v>
      </c>
      <c r="B18" s="5">
        <f t="shared" ref="B18:B26" si="1">C3/$C$13</f>
        <v>0.88165387472146572</v>
      </c>
      <c r="C18" s="5" t="s">
        <v>42</v>
      </c>
      <c r="D18" s="5">
        <f t="shared" ref="D18:D26" si="2">D3/$D$13</f>
        <v>0.74946466809421841</v>
      </c>
      <c r="E18" s="5" t="s">
        <v>53</v>
      </c>
      <c r="F18" s="5">
        <f t="shared" ref="F18:F26" si="3">E3/$E$13</f>
        <v>0.85873922021134463</v>
      </c>
      <c r="G18" s="5" t="s">
        <v>62</v>
      </c>
      <c r="H18" s="5">
        <f t="shared" ref="H18:H26" si="4">F3/$F$13</f>
        <v>0.94780014914243116</v>
      </c>
      <c r="I18" s="5" t="s">
        <v>113</v>
      </c>
      <c r="J18" s="5">
        <f t="shared" ref="J18:J26" si="5">G3/$G$13</f>
        <v>0.94394724446537914</v>
      </c>
      <c r="K18" s="5" t="s">
        <v>122</v>
      </c>
      <c r="L18" s="5">
        <f t="shared" ref="L18:L26" si="6">H3/$H$13</f>
        <v>0.73078703703703696</v>
      </c>
      <c r="M18" s="5" t="s">
        <v>131</v>
      </c>
      <c r="N18" s="5">
        <f t="shared" ref="N18:N26" si="7">I3/$I$13</f>
        <v>0.81087555395855804</v>
      </c>
      <c r="O18" s="5" t="s">
        <v>140</v>
      </c>
      <c r="P18" s="5">
        <f t="shared" ref="P18:P26" si="8">J3/$J$13</f>
        <v>0.75614906832298134</v>
      </c>
      <c r="Q18" s="5" t="s">
        <v>149</v>
      </c>
      <c r="R18" s="5">
        <f t="shared" ref="R18:R26" si="9">K3/$K$13</f>
        <v>0.79160671462829724</v>
      </c>
    </row>
    <row r="19" spans="1:18" x14ac:dyDescent="0.35">
      <c r="A19" s="5" t="s">
        <v>28</v>
      </c>
      <c r="B19" s="5">
        <f t="shared" si="1"/>
        <v>0.81443426590740287</v>
      </c>
      <c r="C19" s="5" t="s">
        <v>45</v>
      </c>
      <c r="D19" s="5">
        <f t="shared" si="2"/>
        <v>0.73768736616702357</v>
      </c>
      <c r="E19" s="5" t="s">
        <v>43</v>
      </c>
      <c r="F19" s="5">
        <f t="shared" si="3"/>
        <v>0.92250698408842469</v>
      </c>
      <c r="G19" s="5" t="s">
        <v>63</v>
      </c>
      <c r="H19" s="5">
        <f t="shared" si="4"/>
        <v>0.97091722595078311</v>
      </c>
      <c r="I19" s="5" t="s">
        <v>114</v>
      </c>
      <c r="J19" s="5">
        <f t="shared" si="5"/>
        <v>0.76990108337258589</v>
      </c>
      <c r="K19" s="5" t="s">
        <v>123</v>
      </c>
      <c r="L19" s="5">
        <f t="shared" si="6"/>
        <v>0.77372685185185175</v>
      </c>
      <c r="M19" s="5" t="s">
        <v>132</v>
      </c>
      <c r="N19" s="5">
        <f t="shared" si="7"/>
        <v>0.85147921906815194</v>
      </c>
      <c r="O19" s="5" t="s">
        <v>141</v>
      </c>
      <c r="P19" s="5">
        <f t="shared" si="8"/>
        <v>0.87652173913043485</v>
      </c>
      <c r="Q19" s="5" t="s">
        <v>150</v>
      </c>
      <c r="R19" s="5">
        <f t="shared" si="9"/>
        <v>0.92206235011990412</v>
      </c>
    </row>
    <row r="20" spans="1:18" x14ac:dyDescent="0.35">
      <c r="A20" s="5" t="s">
        <v>29</v>
      </c>
      <c r="B20" s="5">
        <f t="shared" si="1"/>
        <v>0.85169596434761075</v>
      </c>
      <c r="C20" s="5" t="s">
        <v>46</v>
      </c>
      <c r="D20" s="5">
        <f t="shared" si="2"/>
        <v>0.9314775160599571</v>
      </c>
      <c r="E20" s="5" t="s">
        <v>54</v>
      </c>
      <c r="F20" s="5">
        <f t="shared" si="3"/>
        <v>0.95663792056358565</v>
      </c>
      <c r="G20" s="5" t="s">
        <v>44</v>
      </c>
      <c r="H20" s="5">
        <f t="shared" si="4"/>
        <v>0.96283867760377828</v>
      </c>
      <c r="I20" s="5" t="s">
        <v>115</v>
      </c>
      <c r="J20" s="5">
        <f t="shared" si="5"/>
        <v>0.83054639660857277</v>
      </c>
      <c r="K20" s="5" t="s">
        <v>124</v>
      </c>
      <c r="L20" s="5">
        <f t="shared" si="6"/>
        <v>0.84432870370370372</v>
      </c>
      <c r="M20" s="5" t="s">
        <v>133</v>
      </c>
      <c r="N20" s="5">
        <f t="shared" si="7"/>
        <v>0.94358605821056418</v>
      </c>
      <c r="O20" s="5" t="s">
        <v>142</v>
      </c>
      <c r="P20" s="5">
        <f t="shared" si="8"/>
        <v>0.90571428571428569</v>
      </c>
      <c r="Q20" s="5" t="s">
        <v>151</v>
      </c>
      <c r="R20" s="5">
        <f t="shared" si="9"/>
        <v>0.84328537170263784</v>
      </c>
    </row>
    <row r="21" spans="1:18" x14ac:dyDescent="0.35">
      <c r="A21" s="5" t="s">
        <v>30</v>
      </c>
      <c r="B21" s="5">
        <f t="shared" si="1"/>
        <v>0.88685318148056447</v>
      </c>
      <c r="C21" s="5" t="s">
        <v>39</v>
      </c>
      <c r="D21" s="5">
        <f t="shared" si="2"/>
        <v>0.8404710920770877</v>
      </c>
      <c r="E21" s="5" t="s">
        <v>55</v>
      </c>
      <c r="F21" s="5">
        <f t="shared" si="3"/>
        <v>0.89590671687112844</v>
      </c>
      <c r="G21" s="5" t="s">
        <v>64</v>
      </c>
      <c r="H21" s="5">
        <f t="shared" si="4"/>
        <v>0.96681580909768849</v>
      </c>
      <c r="I21" s="5" t="s">
        <v>116</v>
      </c>
      <c r="J21" s="5">
        <f t="shared" si="5"/>
        <v>0.85939707960433354</v>
      </c>
      <c r="K21" s="5" t="s">
        <v>125</v>
      </c>
      <c r="L21" s="5">
        <f t="shared" si="6"/>
        <v>0.81192129629629628</v>
      </c>
      <c r="M21" s="5" t="s">
        <v>134</v>
      </c>
      <c r="N21" s="5">
        <f t="shared" si="7"/>
        <v>0.89831117499101698</v>
      </c>
      <c r="O21" s="5" t="s">
        <v>143</v>
      </c>
      <c r="P21" s="5">
        <f t="shared" si="8"/>
        <v>0.84062111801242234</v>
      </c>
      <c r="Q21" s="5" t="s">
        <v>152</v>
      </c>
      <c r="R21" s="5">
        <f t="shared" si="9"/>
        <v>0.97122302158273377</v>
      </c>
    </row>
    <row r="22" spans="1:18" x14ac:dyDescent="0.35">
      <c r="A22" s="5" t="s">
        <v>31</v>
      </c>
      <c r="B22" s="5">
        <f t="shared" si="1"/>
        <v>0.98006932409012137</v>
      </c>
      <c r="C22" s="5" t="s">
        <v>47</v>
      </c>
      <c r="D22" s="5">
        <f t="shared" si="2"/>
        <v>1</v>
      </c>
      <c r="E22" s="5" t="s">
        <v>56</v>
      </c>
      <c r="F22" s="5">
        <f t="shared" si="3"/>
        <v>0.95845985667435929</v>
      </c>
      <c r="G22" s="5" t="s">
        <v>65</v>
      </c>
      <c r="H22" s="5">
        <f t="shared" si="4"/>
        <v>0.99527715635098191</v>
      </c>
      <c r="I22" s="5" t="s">
        <v>117</v>
      </c>
      <c r="J22" s="5">
        <f t="shared" si="5"/>
        <v>0.84832783796514377</v>
      </c>
      <c r="K22" s="5" t="s">
        <v>126</v>
      </c>
      <c r="L22" s="5">
        <f t="shared" si="6"/>
        <v>1</v>
      </c>
      <c r="M22" s="5" t="s">
        <v>135</v>
      </c>
      <c r="N22" s="5">
        <f t="shared" si="7"/>
        <v>0.95819858665708479</v>
      </c>
      <c r="O22" s="5" t="s">
        <v>144</v>
      </c>
      <c r="P22" s="5">
        <f t="shared" si="8"/>
        <v>1</v>
      </c>
      <c r="Q22" s="5" t="s">
        <v>153</v>
      </c>
      <c r="R22" s="5">
        <f t="shared" si="9"/>
        <v>1</v>
      </c>
    </row>
    <row r="23" spans="1:18" x14ac:dyDescent="0.35">
      <c r="A23" s="5" t="s">
        <v>32</v>
      </c>
      <c r="B23" s="5">
        <f t="shared" si="1"/>
        <v>0.95073037880663525</v>
      </c>
      <c r="C23" s="5" t="s">
        <v>48</v>
      </c>
      <c r="D23" s="5">
        <f t="shared" si="2"/>
        <v>0.97537473233404703</v>
      </c>
      <c r="E23" s="5" t="s">
        <v>57</v>
      </c>
      <c r="F23" s="5">
        <f t="shared" si="3"/>
        <v>0.8968784161302078</v>
      </c>
      <c r="G23" s="5" t="s">
        <v>66</v>
      </c>
      <c r="H23" s="5">
        <f t="shared" si="4"/>
        <v>0.99353716132239622</v>
      </c>
      <c r="I23" s="5" t="s">
        <v>118</v>
      </c>
      <c r="J23" s="5">
        <f t="shared" si="5"/>
        <v>1</v>
      </c>
      <c r="K23" s="5" t="s">
        <v>127</v>
      </c>
      <c r="L23" s="5">
        <f t="shared" si="6"/>
        <v>0.87037037037037035</v>
      </c>
      <c r="M23" s="5" t="s">
        <v>136</v>
      </c>
      <c r="N23" s="5">
        <f t="shared" si="7"/>
        <v>1</v>
      </c>
      <c r="O23" s="5" t="s">
        <v>145</v>
      </c>
      <c r="P23" s="5">
        <f t="shared" si="8"/>
        <v>0.8216149068322981</v>
      </c>
      <c r="Q23" s="5" t="s">
        <v>154</v>
      </c>
      <c r="R23" s="5">
        <f t="shared" si="9"/>
        <v>0.84328537170263784</v>
      </c>
    </row>
    <row r="24" spans="1:18" x14ac:dyDescent="0.35">
      <c r="A24" s="5" t="s">
        <v>33</v>
      </c>
      <c r="B24" s="5">
        <f t="shared" si="1"/>
        <v>0.89217628125773696</v>
      </c>
      <c r="C24" s="5" t="s">
        <v>49</v>
      </c>
      <c r="D24" s="5">
        <f t="shared" si="2"/>
        <v>0.91006423982869378</v>
      </c>
      <c r="E24" s="5" t="s">
        <v>40</v>
      </c>
      <c r="F24" s="5">
        <f t="shared" si="3"/>
        <v>0.85145147576824964</v>
      </c>
      <c r="G24" s="5" t="s">
        <v>67</v>
      </c>
      <c r="H24" s="5">
        <f t="shared" si="4"/>
        <v>0.95202585135471041</v>
      </c>
      <c r="I24" s="5" t="s">
        <v>119</v>
      </c>
      <c r="J24" s="5">
        <f t="shared" si="5"/>
        <v>0.82524729156853505</v>
      </c>
      <c r="K24" s="5" t="s">
        <v>128</v>
      </c>
      <c r="L24" s="5">
        <f t="shared" si="6"/>
        <v>0.76446759259259256</v>
      </c>
      <c r="M24" s="5" t="s">
        <v>137</v>
      </c>
      <c r="N24" s="5">
        <f t="shared" si="7"/>
        <v>0.86645107198466886</v>
      </c>
      <c r="O24" s="5" t="s">
        <v>146</v>
      </c>
      <c r="P24" s="5">
        <f t="shared" si="8"/>
        <v>0.83354037267080738</v>
      </c>
      <c r="Q24" s="5" t="s">
        <v>155</v>
      </c>
      <c r="R24" s="5">
        <f t="shared" si="9"/>
        <v>0.90647482014388481</v>
      </c>
    </row>
    <row r="25" spans="1:18" x14ac:dyDescent="0.35">
      <c r="A25" s="5" t="s">
        <v>34</v>
      </c>
      <c r="B25" s="5">
        <f t="shared" si="1"/>
        <v>0.90418420401089383</v>
      </c>
      <c r="C25" s="5" t="s">
        <v>41</v>
      </c>
      <c r="D25" s="5">
        <f t="shared" si="2"/>
        <v>0.86723768736616702</v>
      </c>
      <c r="E25" s="5" t="s">
        <v>58</v>
      </c>
      <c r="F25" s="5">
        <f t="shared" si="3"/>
        <v>1</v>
      </c>
      <c r="G25" s="5" t="s">
        <v>68</v>
      </c>
      <c r="H25" s="5">
        <f t="shared" si="4"/>
        <v>0.98657718120805371</v>
      </c>
      <c r="I25" s="5" t="s">
        <v>120</v>
      </c>
      <c r="J25" s="5">
        <f t="shared" si="5"/>
        <v>0.87482336316533216</v>
      </c>
      <c r="K25" s="5" t="s">
        <v>129</v>
      </c>
      <c r="L25" s="5">
        <f t="shared" si="6"/>
        <v>0.86342592592592582</v>
      </c>
      <c r="M25" s="5" t="s">
        <v>138</v>
      </c>
      <c r="N25" s="5">
        <f t="shared" si="7"/>
        <v>0.98814229249011865</v>
      </c>
      <c r="O25" s="5" t="s">
        <v>147</v>
      </c>
      <c r="P25" s="5">
        <f t="shared" si="8"/>
        <v>0.9391304347826086</v>
      </c>
      <c r="Q25" s="5" t="s">
        <v>156</v>
      </c>
      <c r="R25" s="5">
        <f t="shared" si="9"/>
        <v>0.98177458033573128</v>
      </c>
    </row>
    <row r="26" spans="1:18" x14ac:dyDescent="0.35">
      <c r="A26" s="5" t="s">
        <v>35</v>
      </c>
      <c r="B26" s="5">
        <f t="shared" si="1"/>
        <v>0.86258974993810356</v>
      </c>
      <c r="C26" s="5" t="s">
        <v>50</v>
      </c>
      <c r="D26" s="5">
        <f t="shared" si="2"/>
        <v>0.78372591006423986</v>
      </c>
      <c r="E26" s="5" t="s">
        <v>59</v>
      </c>
      <c r="F26" s="5">
        <f t="shared" si="3"/>
        <v>0.91934896149641687</v>
      </c>
      <c r="G26" s="5" t="s">
        <v>69</v>
      </c>
      <c r="H26" s="5">
        <f t="shared" si="4"/>
        <v>0.9603529704200845</v>
      </c>
      <c r="I26" s="5" t="s">
        <v>121</v>
      </c>
      <c r="J26" s="5">
        <f t="shared" si="5"/>
        <v>0.95266132830899675</v>
      </c>
      <c r="K26" s="5" t="s">
        <v>130</v>
      </c>
      <c r="L26" s="5">
        <f t="shared" si="6"/>
        <v>0.8032407407407407</v>
      </c>
      <c r="M26" s="5" t="s">
        <v>139</v>
      </c>
      <c r="N26" s="5">
        <f t="shared" si="7"/>
        <v>0.83950173673493844</v>
      </c>
      <c r="O26" s="5" t="s">
        <v>148</v>
      </c>
      <c r="P26" s="5">
        <f t="shared" si="8"/>
        <v>0.79565217391304344</v>
      </c>
      <c r="Q26" s="5" t="s">
        <v>157</v>
      </c>
      <c r="R26" s="5">
        <f t="shared" si="9"/>
        <v>0.81714628297362113</v>
      </c>
    </row>
    <row r="29" spans="1:18" x14ac:dyDescent="0.35">
      <c r="A29" s="21" t="s">
        <v>70</v>
      </c>
      <c r="B29" s="21"/>
    </row>
    <row r="30" spans="1:18" ht="25" x14ac:dyDescent="0.35">
      <c r="A30" s="11" t="s">
        <v>83</v>
      </c>
      <c r="B30" s="11" t="s">
        <v>2</v>
      </c>
      <c r="C30" s="11" t="s">
        <v>84</v>
      </c>
      <c r="D30" s="11" t="s">
        <v>85</v>
      </c>
      <c r="E30" s="11" t="s">
        <v>86</v>
      </c>
      <c r="F30" s="11" t="s">
        <v>87</v>
      </c>
      <c r="G30" s="11" t="s">
        <v>88</v>
      </c>
      <c r="H30" s="11" t="s">
        <v>89</v>
      </c>
      <c r="I30" s="11" t="s">
        <v>90</v>
      </c>
      <c r="J30" s="11" t="s">
        <v>91</v>
      </c>
      <c r="K30" s="12" t="s">
        <v>92</v>
      </c>
    </row>
    <row r="31" spans="1:18" ht="28" x14ac:dyDescent="0.35">
      <c r="A31" s="13">
        <v>2301301001</v>
      </c>
      <c r="B31" s="13" t="s">
        <v>93</v>
      </c>
      <c r="C31" s="13">
        <f>B17</f>
        <v>1</v>
      </c>
      <c r="D31" s="13">
        <f>D17</f>
        <v>0.9635974304068522</v>
      </c>
      <c r="E31" s="13">
        <f>F17</f>
        <v>0.98275233815134211</v>
      </c>
      <c r="F31" s="13">
        <f>H17</f>
        <v>1</v>
      </c>
      <c r="G31" s="13">
        <f>J17</f>
        <v>0.91945360339142723</v>
      </c>
      <c r="H31" s="13">
        <f>L17</f>
        <v>0.99826388888888884</v>
      </c>
      <c r="I31" s="13">
        <f>N17</f>
        <v>0.99113666307342208</v>
      </c>
      <c r="J31" s="13">
        <f>P17</f>
        <v>0.93639751552795025</v>
      </c>
      <c r="K31" s="13">
        <f>R17</f>
        <v>0.97685851318944839</v>
      </c>
    </row>
    <row r="32" spans="1:18" ht="28" x14ac:dyDescent="0.35">
      <c r="A32" s="13">
        <v>2301301002</v>
      </c>
      <c r="B32" s="13" t="s">
        <v>3</v>
      </c>
      <c r="C32" s="13">
        <f t="shared" ref="C32:C40" si="10">B18</f>
        <v>0.88165387472146572</v>
      </c>
      <c r="D32" s="13">
        <f t="shared" ref="D32:D40" si="11">D18</f>
        <v>0.74946466809421841</v>
      </c>
      <c r="E32" s="13">
        <f t="shared" ref="E32:E40" si="12">F18</f>
        <v>0.85873922021134463</v>
      </c>
      <c r="F32" s="13">
        <f t="shared" ref="F32:F40" si="13">H18</f>
        <v>0.94780014914243116</v>
      </c>
      <c r="G32" s="13">
        <f t="shared" ref="G32:G40" si="14">J18</f>
        <v>0.94394724446537914</v>
      </c>
      <c r="H32" s="13">
        <f t="shared" ref="H32:H40" si="15">L18</f>
        <v>0.73078703703703696</v>
      </c>
      <c r="I32" s="13">
        <f t="shared" ref="I32:I40" si="16">N18</f>
        <v>0.81087555395855804</v>
      </c>
      <c r="J32" s="13">
        <f t="shared" ref="J32:J40" si="17">P18</f>
        <v>0.75614906832298134</v>
      </c>
      <c r="K32" s="13">
        <f t="shared" ref="K32:K40" si="18">R18</f>
        <v>0.79160671462829724</v>
      </c>
    </row>
    <row r="33" spans="1:11" ht="28" x14ac:dyDescent="0.35">
      <c r="A33" s="13">
        <v>2301301003</v>
      </c>
      <c r="B33" s="13" t="s">
        <v>94</v>
      </c>
      <c r="C33" s="13">
        <f t="shared" si="10"/>
        <v>0.81443426590740287</v>
      </c>
      <c r="D33" s="13">
        <f t="shared" si="11"/>
        <v>0.73768736616702357</v>
      </c>
      <c r="E33" s="13">
        <f t="shared" si="12"/>
        <v>0.92250698408842469</v>
      </c>
      <c r="F33" s="13">
        <f t="shared" si="13"/>
        <v>0.97091722595078311</v>
      </c>
      <c r="G33" s="13">
        <f t="shared" si="14"/>
        <v>0.76990108337258589</v>
      </c>
      <c r="H33" s="13">
        <f t="shared" si="15"/>
        <v>0.77372685185185175</v>
      </c>
      <c r="I33" s="13">
        <f t="shared" si="16"/>
        <v>0.85147921906815194</v>
      </c>
      <c r="J33" s="13">
        <f t="shared" si="17"/>
        <v>0.87652173913043485</v>
      </c>
      <c r="K33" s="13">
        <f t="shared" si="18"/>
        <v>0.92206235011990412</v>
      </c>
    </row>
    <row r="34" spans="1:11" x14ac:dyDescent="0.35">
      <c r="A34" s="13">
        <v>2301301004</v>
      </c>
      <c r="B34" s="13" t="s">
        <v>95</v>
      </c>
      <c r="C34" s="13">
        <f t="shared" si="10"/>
        <v>0.85169596434761075</v>
      </c>
      <c r="D34" s="13">
        <f t="shared" si="11"/>
        <v>0.9314775160599571</v>
      </c>
      <c r="E34" s="13">
        <f t="shared" si="12"/>
        <v>0.95663792056358565</v>
      </c>
      <c r="F34" s="13">
        <f t="shared" si="13"/>
        <v>0.96283867760377828</v>
      </c>
      <c r="G34" s="13">
        <f t="shared" si="14"/>
        <v>0.83054639660857277</v>
      </c>
      <c r="H34" s="13">
        <f t="shared" si="15"/>
        <v>0.84432870370370372</v>
      </c>
      <c r="I34" s="13">
        <f t="shared" si="16"/>
        <v>0.94358605821056418</v>
      </c>
      <c r="J34" s="13">
        <f t="shared" si="17"/>
        <v>0.90571428571428569</v>
      </c>
      <c r="K34" s="13">
        <f t="shared" si="18"/>
        <v>0.84328537170263784</v>
      </c>
    </row>
    <row r="35" spans="1:11" ht="28" x14ac:dyDescent="0.35">
      <c r="A35" s="13">
        <v>2301301005</v>
      </c>
      <c r="B35" s="13" t="s">
        <v>96</v>
      </c>
      <c r="C35" s="13">
        <f t="shared" si="10"/>
        <v>0.88685318148056447</v>
      </c>
      <c r="D35" s="13">
        <f t="shared" si="11"/>
        <v>0.8404710920770877</v>
      </c>
      <c r="E35" s="13">
        <f t="shared" si="12"/>
        <v>0.89590671687112844</v>
      </c>
      <c r="F35" s="13">
        <f t="shared" si="13"/>
        <v>0.96681580909768849</v>
      </c>
      <c r="G35" s="13">
        <f t="shared" si="14"/>
        <v>0.85939707960433354</v>
      </c>
      <c r="H35" s="13">
        <f t="shared" si="15"/>
        <v>0.81192129629629628</v>
      </c>
      <c r="I35" s="13">
        <f t="shared" si="16"/>
        <v>0.89831117499101698</v>
      </c>
      <c r="J35" s="13">
        <f t="shared" si="17"/>
        <v>0.84062111801242234</v>
      </c>
      <c r="K35" s="13">
        <f t="shared" si="18"/>
        <v>0.97122302158273377</v>
      </c>
    </row>
    <row r="36" spans="1:11" ht="28" x14ac:dyDescent="0.35">
      <c r="A36" s="13">
        <v>2301301006</v>
      </c>
      <c r="B36" s="13" t="s">
        <v>97</v>
      </c>
      <c r="C36" s="13">
        <f t="shared" si="10"/>
        <v>0.98006932409012137</v>
      </c>
      <c r="D36" s="13">
        <f t="shared" si="11"/>
        <v>1</v>
      </c>
      <c r="E36" s="13">
        <f t="shared" si="12"/>
        <v>0.95845985667435929</v>
      </c>
      <c r="F36" s="13">
        <f t="shared" si="13"/>
        <v>0.99527715635098191</v>
      </c>
      <c r="G36" s="13">
        <f t="shared" si="14"/>
        <v>0.84832783796514377</v>
      </c>
      <c r="H36" s="13">
        <f t="shared" si="15"/>
        <v>1</v>
      </c>
      <c r="I36" s="13">
        <f t="shared" si="16"/>
        <v>0.95819858665708479</v>
      </c>
      <c r="J36" s="13">
        <f t="shared" si="17"/>
        <v>1</v>
      </c>
      <c r="K36" s="13">
        <f t="shared" si="18"/>
        <v>1</v>
      </c>
    </row>
    <row r="37" spans="1:11" x14ac:dyDescent="0.35">
      <c r="A37" s="13">
        <v>2301301007</v>
      </c>
      <c r="B37" s="13" t="s">
        <v>98</v>
      </c>
      <c r="C37" s="13">
        <f t="shared" si="10"/>
        <v>0.95073037880663525</v>
      </c>
      <c r="D37" s="13">
        <f t="shared" si="11"/>
        <v>0.97537473233404703</v>
      </c>
      <c r="E37" s="13">
        <f t="shared" si="12"/>
        <v>0.8968784161302078</v>
      </c>
      <c r="F37" s="13">
        <f t="shared" si="13"/>
        <v>0.99353716132239622</v>
      </c>
      <c r="G37" s="13">
        <f t="shared" si="14"/>
        <v>1</v>
      </c>
      <c r="H37" s="13">
        <f t="shared" si="15"/>
        <v>0.87037037037037035</v>
      </c>
      <c r="I37" s="13">
        <f t="shared" si="16"/>
        <v>1</v>
      </c>
      <c r="J37" s="13">
        <f t="shared" si="17"/>
        <v>0.8216149068322981</v>
      </c>
      <c r="K37" s="13">
        <f t="shared" si="18"/>
        <v>0.84328537170263784</v>
      </c>
    </row>
    <row r="38" spans="1:11" ht="42" x14ac:dyDescent="0.35">
      <c r="A38" s="13">
        <v>2301301011</v>
      </c>
      <c r="B38" s="13" t="s">
        <v>99</v>
      </c>
      <c r="C38" s="13">
        <f t="shared" si="10"/>
        <v>0.89217628125773696</v>
      </c>
      <c r="D38" s="13">
        <f t="shared" si="11"/>
        <v>0.91006423982869378</v>
      </c>
      <c r="E38" s="13">
        <f t="shared" si="12"/>
        <v>0.85145147576824964</v>
      </c>
      <c r="F38" s="13">
        <f t="shared" si="13"/>
        <v>0.95202585135471041</v>
      </c>
      <c r="G38" s="13">
        <f t="shared" si="14"/>
        <v>0.82524729156853505</v>
      </c>
      <c r="H38" s="13">
        <f t="shared" si="15"/>
        <v>0.76446759259259256</v>
      </c>
      <c r="I38" s="13">
        <f t="shared" si="16"/>
        <v>0.86645107198466886</v>
      </c>
      <c r="J38" s="13">
        <f t="shared" si="17"/>
        <v>0.83354037267080738</v>
      </c>
      <c r="K38" s="13">
        <f t="shared" si="18"/>
        <v>0.90647482014388481</v>
      </c>
    </row>
    <row r="39" spans="1:11" ht="28" x14ac:dyDescent="0.35">
      <c r="A39" s="13">
        <v>2301301013</v>
      </c>
      <c r="B39" s="13" t="s">
        <v>100</v>
      </c>
      <c r="C39" s="13">
        <f t="shared" si="10"/>
        <v>0.90418420401089383</v>
      </c>
      <c r="D39" s="13">
        <f t="shared" si="11"/>
        <v>0.86723768736616702</v>
      </c>
      <c r="E39" s="13">
        <f t="shared" si="12"/>
        <v>1</v>
      </c>
      <c r="F39" s="13">
        <f t="shared" si="13"/>
        <v>0.98657718120805371</v>
      </c>
      <c r="G39" s="13">
        <f t="shared" si="14"/>
        <v>0.87482336316533216</v>
      </c>
      <c r="H39" s="13">
        <f t="shared" si="15"/>
        <v>0.86342592592592582</v>
      </c>
      <c r="I39" s="13">
        <f t="shared" si="16"/>
        <v>0.98814229249011865</v>
      </c>
      <c r="J39" s="13">
        <f t="shared" si="17"/>
        <v>0.9391304347826086</v>
      </c>
      <c r="K39" s="13">
        <f t="shared" si="18"/>
        <v>0.98177458033573128</v>
      </c>
    </row>
    <row r="40" spans="1:11" ht="42" x14ac:dyDescent="0.35">
      <c r="A40" s="13">
        <v>2301301014</v>
      </c>
      <c r="B40" s="13" t="s">
        <v>101</v>
      </c>
      <c r="C40" s="13">
        <f t="shared" si="10"/>
        <v>0.86258974993810356</v>
      </c>
      <c r="D40" s="13">
        <f t="shared" si="11"/>
        <v>0.78372591006423986</v>
      </c>
      <c r="E40" s="13">
        <f t="shared" si="12"/>
        <v>0.91934896149641687</v>
      </c>
      <c r="F40" s="13">
        <f t="shared" si="13"/>
        <v>0.9603529704200845</v>
      </c>
      <c r="G40" s="13">
        <f t="shared" si="14"/>
        <v>0.95266132830899675</v>
      </c>
      <c r="H40" s="13">
        <f t="shared" si="15"/>
        <v>0.8032407407407407</v>
      </c>
      <c r="I40" s="13">
        <f t="shared" si="16"/>
        <v>0.83950173673493844</v>
      </c>
      <c r="J40" s="13">
        <f t="shared" si="17"/>
        <v>0.79565217391304344</v>
      </c>
      <c r="K40" s="13">
        <f t="shared" si="18"/>
        <v>0.81714628297362113</v>
      </c>
    </row>
    <row r="43" spans="1:11" x14ac:dyDescent="0.35">
      <c r="A43" s="17" t="s">
        <v>71</v>
      </c>
      <c r="B43" s="17"/>
    </row>
    <row r="44" spans="1:11" x14ac:dyDescent="0.35">
      <c r="A44" s="5" t="s">
        <v>73</v>
      </c>
      <c r="B44" s="5">
        <f>($O$2*C31)+($O$3*D31)+($O$4*E31)+($O$5*F31)+($O$6*G31)+($O$7*H31)+($O$8*I31)+($O$9*J31)+($O$10*K31)</f>
        <v>0.97377456277101881</v>
      </c>
    </row>
    <row r="45" spans="1:11" x14ac:dyDescent="0.35">
      <c r="A45" s="5" t="s">
        <v>74</v>
      </c>
      <c r="B45" s="5">
        <f>($O$2*C32)+($O$3*D32)+($O$4*E32)+($O$5*F32)+($O$6*G32)+($O$7*H32)+($O$8*I32)+($O$9*J32)+($O$10*K32)</f>
        <v>0.82842987299718118</v>
      </c>
    </row>
    <row r="46" spans="1:11" x14ac:dyDescent="0.35">
      <c r="A46" s="5" t="s">
        <v>75</v>
      </c>
      <c r="B46" s="5">
        <f>($O$2*C33)+($O$3*D33)+($O$4*E33)+($O$5*F33)+($O$6*G33)+($O$7*H33)+($O$8*I33)+($O$9*J33)+($O$10*K33)</f>
        <v>0.84446865807204119</v>
      </c>
    </row>
    <row r="47" spans="1:11" x14ac:dyDescent="0.35">
      <c r="A47" s="5" t="s">
        <v>76</v>
      </c>
      <c r="B47" s="5">
        <f>($O$2*C34)+($O$3*D34)+($O$4*E34)+($O$5*F34)+($O$6*G34)+($O$7*H34)+($O$8*I34)+($O$9*J34)+($O$10*K34)</f>
        <v>0.89315199226269459</v>
      </c>
    </row>
    <row r="48" spans="1:11" x14ac:dyDescent="0.35">
      <c r="A48" s="5" t="s">
        <v>77</v>
      </c>
      <c r="B48" s="5">
        <f>($O$2*C35)+($O$3*D35)+($O$4*E35)+($O$5*F35)+($O$6*G35)+($O$7*H35)+($O$8*I35)+($O$9*J35)+($O$10*K35)</f>
        <v>0.88512554489149509</v>
      </c>
    </row>
    <row r="49" spans="1:3" x14ac:dyDescent="0.35">
      <c r="A49" s="5" t="s">
        <v>78</v>
      </c>
      <c r="B49" s="5">
        <f>($O$2*C36)+($O$3*D36)+($O$4*E36)+($O$5*F36)+($O$6*G36)+($O$7*H36)+($O$8*I36)+($O$9*J36)+($O$10*K36)</f>
        <v>0.97189445098829552</v>
      </c>
    </row>
    <row r="50" spans="1:3" x14ac:dyDescent="0.35">
      <c r="A50" s="5" t="s">
        <v>79</v>
      </c>
      <c r="B50" s="5">
        <f>($O$2*C37)+($O$3*D37)+($O$4*E37)+($O$5*F37)+($O$6*G37)+($O$7*H37)+($O$8*I37)+($O$9*J37)+($O$10*K37)</f>
        <v>0.92980613287452818</v>
      </c>
    </row>
    <row r="51" spans="1:3" x14ac:dyDescent="0.35">
      <c r="A51" s="5" t="s">
        <v>80</v>
      </c>
      <c r="B51" s="5">
        <f>($O$2*C38)+($O$3*D38)+($O$4*E38)+($O$5*F38)+($O$6*G38)+($O$7*H38)+($O$8*I38)+($O$9*J38)+($O$10*K38)</f>
        <v>0.86778508932773579</v>
      </c>
    </row>
    <row r="52" spans="1:3" x14ac:dyDescent="0.35">
      <c r="A52" s="5" t="s">
        <v>81</v>
      </c>
      <c r="B52" s="5">
        <f>($O$2*C39)+($O$3*D39)+($O$4*E39)+($O$5*F39)+($O$6*G39)+($O$7*H39)+($O$8*I39)+($O$9*J39)+($O$10*K39)</f>
        <v>0.93003478462174483</v>
      </c>
    </row>
    <row r="53" spans="1:3" x14ac:dyDescent="0.35">
      <c r="A53" s="5" t="s">
        <v>82</v>
      </c>
      <c r="B53" s="5">
        <f>($O$2*C40)+($O$3*D40)+($O$4*E40)+($O$5*F40)+($O$6*G40)+($O$7*H40)+($O$8*I40)+($O$9*J40)+($O$10*K40)</f>
        <v>0.85582886751082088</v>
      </c>
    </row>
    <row r="55" spans="1:3" x14ac:dyDescent="0.35">
      <c r="A55" s="17" t="s">
        <v>158</v>
      </c>
      <c r="B55" s="17"/>
      <c r="C55" s="17"/>
    </row>
    <row r="56" spans="1:3" x14ac:dyDescent="0.35">
      <c r="A56" s="11" t="s">
        <v>83</v>
      </c>
      <c r="B56" s="11" t="s">
        <v>2</v>
      </c>
      <c r="C56" s="5" t="s">
        <v>159</v>
      </c>
    </row>
    <row r="57" spans="1:3" ht="28" x14ac:dyDescent="0.35">
      <c r="A57" s="13">
        <v>2301301001</v>
      </c>
      <c r="B57" s="13" t="s">
        <v>93</v>
      </c>
      <c r="C57" s="5">
        <f>B44</f>
        <v>0.97377456277101881</v>
      </c>
    </row>
    <row r="58" spans="1:3" ht="28" x14ac:dyDescent="0.35">
      <c r="A58" s="13">
        <v>2301301002</v>
      </c>
      <c r="B58" s="13" t="s">
        <v>3</v>
      </c>
      <c r="C58" s="5">
        <f t="shared" ref="C58:C66" si="19">B45</f>
        <v>0.82842987299718118</v>
      </c>
    </row>
    <row r="59" spans="1:3" ht="28" x14ac:dyDescent="0.35">
      <c r="A59" s="13">
        <v>2301301003</v>
      </c>
      <c r="B59" s="13" t="s">
        <v>94</v>
      </c>
      <c r="C59" s="5">
        <f t="shared" si="19"/>
        <v>0.84446865807204119</v>
      </c>
    </row>
    <row r="60" spans="1:3" x14ac:dyDescent="0.35">
      <c r="A60" s="13">
        <v>2301301004</v>
      </c>
      <c r="B60" s="13" t="s">
        <v>95</v>
      </c>
      <c r="C60" s="5">
        <f t="shared" si="19"/>
        <v>0.89315199226269459</v>
      </c>
    </row>
    <row r="61" spans="1:3" ht="28" x14ac:dyDescent="0.35">
      <c r="A61" s="13">
        <v>2301301005</v>
      </c>
      <c r="B61" s="13" t="s">
        <v>96</v>
      </c>
      <c r="C61" s="5">
        <f t="shared" si="19"/>
        <v>0.88512554489149509</v>
      </c>
    </row>
    <row r="62" spans="1:3" ht="28" x14ac:dyDescent="0.35">
      <c r="A62" s="13">
        <v>2301301006</v>
      </c>
      <c r="B62" s="13" t="s">
        <v>97</v>
      </c>
      <c r="C62" s="5">
        <f t="shared" si="19"/>
        <v>0.97189445098829552</v>
      </c>
    </row>
    <row r="63" spans="1:3" x14ac:dyDescent="0.35">
      <c r="A63" s="13">
        <v>2301301007</v>
      </c>
      <c r="B63" s="13" t="s">
        <v>98</v>
      </c>
      <c r="C63" s="5">
        <f t="shared" si="19"/>
        <v>0.92980613287452818</v>
      </c>
    </row>
    <row r="64" spans="1:3" ht="42" x14ac:dyDescent="0.35">
      <c r="A64" s="13">
        <v>2301301011</v>
      </c>
      <c r="B64" s="13" t="s">
        <v>99</v>
      </c>
      <c r="C64" s="5">
        <f t="shared" si="19"/>
        <v>0.86778508932773579</v>
      </c>
    </row>
    <row r="65" spans="1:3" ht="28" x14ac:dyDescent="0.35">
      <c r="A65" s="13">
        <v>2301301013</v>
      </c>
      <c r="B65" s="13" t="s">
        <v>100</v>
      </c>
      <c r="C65" s="5">
        <f t="shared" si="19"/>
        <v>0.93003478462174483</v>
      </c>
    </row>
    <row r="66" spans="1:3" ht="42" x14ac:dyDescent="0.35">
      <c r="A66" s="13">
        <v>2301301014</v>
      </c>
      <c r="B66" s="13" t="s">
        <v>101</v>
      </c>
      <c r="C66" s="5">
        <f t="shared" si="19"/>
        <v>0.85582886751082088</v>
      </c>
    </row>
  </sheetData>
  <mergeCells count="7">
    <mergeCell ref="M1:O1"/>
    <mergeCell ref="A55:C55"/>
    <mergeCell ref="A12:B12"/>
    <mergeCell ref="A13:B13"/>
    <mergeCell ref="A15:B15"/>
    <mergeCell ref="A29:B29"/>
    <mergeCell ref="A43:B4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Apri Wardhani</cp:lastModifiedBy>
  <dcterms:created xsi:type="dcterms:W3CDTF">2025-10-04T06:29:12Z</dcterms:created>
  <dcterms:modified xsi:type="dcterms:W3CDTF">2025-11-11T02:42:12Z</dcterms:modified>
</cp:coreProperties>
</file>